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DELL\Documents\"/>
    </mc:Choice>
  </mc:AlternateContent>
  <bookViews>
    <workbookView xWindow="0" yWindow="0" windowWidth="19200" windowHeight="7050" activeTab="1"/>
  </bookViews>
  <sheets>
    <sheet name="Pivot" sheetId="3" r:id="rId1"/>
    <sheet name="Dashboard" sheetId="4" r:id="rId2"/>
    <sheet name="Data" sheetId="1" r:id="rId3"/>
  </sheets>
  <definedNames>
    <definedName name="_xlcn.WorksheetConnection_Studentperformanceanalysis.xlsxTable1" hidden="1">Table1[]</definedName>
    <definedName name="Slicer_extra_curricular">#N/A</definedName>
    <definedName name="Slicer_gender">#N/A</definedName>
    <definedName name="Slicer_grade_level">#N/A</definedName>
    <definedName name="Slicer_study_group">#N/A</definedName>
  </definedNames>
  <calcPr calcId="162913"/>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tudent performance analysis.xlsx!Table1"/>
        </x15:modelTables>
      </x15:dataModel>
    </ext>
  </extLst>
</workbook>
</file>

<file path=xl/calcChain.xml><?xml version="1.0" encoding="utf-8"?>
<calcChain xmlns="http://schemas.openxmlformats.org/spreadsheetml/2006/main">
  <c r="B22" i="3" l="1"/>
  <c r="B21" i="3"/>
  <c r="B18" i="3"/>
  <c r="B20" i="3"/>
  <c r="B19" i="3"/>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tudent performance analysis.xlsx!Table1" type="102" refreshedVersion="6" minRefreshableVersion="5">
    <extLst>
      <ext xmlns:x15="http://schemas.microsoft.com/office/spreadsheetml/2010/11/main" uri="{DE250136-89BD-433C-8126-D09CA5730AF9}">
        <x15:connection id="Table1" autoDelete="1">
          <x15:rangePr sourceName="_xlcn.WorksheetConnection_Studentperformanceanalysis.xlsxTable1"/>
        </x15:connection>
      </ext>
    </extLst>
  </connection>
</connections>
</file>

<file path=xl/sharedStrings.xml><?xml version="1.0" encoding="utf-8"?>
<sst xmlns="http://schemas.openxmlformats.org/spreadsheetml/2006/main" count="1310" uniqueCount="288">
  <si>
    <t>student_id</t>
  </si>
  <si>
    <t>math_score</t>
  </si>
  <si>
    <t>science_score</t>
  </si>
  <si>
    <t>english_score</t>
  </si>
  <si>
    <t>attendance_percent</t>
  </si>
  <si>
    <t>gender</t>
  </si>
  <si>
    <t>grade_level</t>
  </si>
  <si>
    <t>study_group</t>
  </si>
  <si>
    <t>extra_curricular</t>
  </si>
  <si>
    <t>S2044</t>
  </si>
  <si>
    <t>Male</t>
  </si>
  <si>
    <t>Grade 12</t>
  </si>
  <si>
    <t>Group C</t>
  </si>
  <si>
    <t>Art</t>
  </si>
  <si>
    <t>S2045</t>
  </si>
  <si>
    <t>Female</t>
  </si>
  <si>
    <t>Music</t>
  </si>
  <si>
    <t>S2046</t>
  </si>
  <si>
    <t>Grade 10</t>
  </si>
  <si>
    <t>S2047</t>
  </si>
  <si>
    <t>Group A</t>
  </si>
  <si>
    <t>S2048</t>
  </si>
  <si>
    <t>Grade 9</t>
  </si>
  <si>
    <t>Group B</t>
  </si>
  <si>
    <t>Sports</t>
  </si>
  <si>
    <t>S2049</t>
  </si>
  <si>
    <t>S2050</t>
  </si>
  <si>
    <t>S2051</t>
  </si>
  <si>
    <t>S2052</t>
  </si>
  <si>
    <t>S2053</t>
  </si>
  <si>
    <t>None</t>
  </si>
  <si>
    <t>S2054</t>
  </si>
  <si>
    <t>Grade 11</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</si>
  <si>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</si>
  <si>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</si>
  <si>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</si>
  <si>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</si>
  <si>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</si>
  <si>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</si>
  <si>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</si>
  <si>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</si>
  <si>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</si>
  <si>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</si>
  <si>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</si>
  <si>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</si>
  <si>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</si>
  <si>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</si>
  <si>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</si>
  <si>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</si>
  <si>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</si>
  <si>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</si>
  <si>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</si>
  <si>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</si>
  <si>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</si>
  <si>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</si>
  <si>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</si>
  <si>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</si>
  <si>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</si>
  <si>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</si>
  <si>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</si>
  <si>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</si>
  <si>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</si>
  <si>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</si>
  <si>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</si>
  <si>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</si>
  <si>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</si>
  <si>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</si>
  <si>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</si>
  <si>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</si>
  <si>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</si>
  <si>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</si>
  <si>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</si>
  <si>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</si>
  <si>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</si>
  <si>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</si>
  <si>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</si>
  <si>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</si>
  <si>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</si>
  <si>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</si>
  <si>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</si>
  <si>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</si>
  <si>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</si>
  <si>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</si>
  <si>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</si>
  <si>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</si>
  <si>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</si>
  <si>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</si>
  <si>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</si>
  <si>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</si>
  <si>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</si>
  <si>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</si>
  <si>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</si>
  <si>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</si>
  <si>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</si>
  <si>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</si>
  <si>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</si>
  <si>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</si>
  <si>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</si>
  <si>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</si>
  <si>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</si>
  <si>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</si>
  <si>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</si>
  <si>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</si>
  <si>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</si>
  <si>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</si>
  <si>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</si>
  <si>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</si>
  <si>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</si>
  <si>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</si>
  <si>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</si>
  <si>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</si>
  <si>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</si>
  <si>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</si>
  <si>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</si>
  <si>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</si>
  <si>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</si>
  <si>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</si>
  <si>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</si>
  <si>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</si>
  <si>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</si>
  <si>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</si>
  <si>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</si>
  <si>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</si>
  <si>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</si>
  <si>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</si>
  <si>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</si>
  <si>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</si>
  <si>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</si>
  <si>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</si>
  <si>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</si>
  <si>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</si>
  <si>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</si>
  <si>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</si>
  <si>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</si>
  <si>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</si>
  <si>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</si>
  <si>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</si>
  <si>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</si>
  <si>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</si>
  <si>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</si>
  <si>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</si>
  <si>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</si>
  <si>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</si>
  <si>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</si>
  <si>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</si>
  <si>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</si>
  <si>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</si>
  <si>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</si>
  <si>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</si>
  <si>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</si>
  <si>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</si>
  <si>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</si>
  <si>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</si>
  <si>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</si>
  <si>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</si>
  <si>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</si>
  <si>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</si>
  <si>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</si>
  <si>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</si>
  <si>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</si>
  <si>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</si>
  <si>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</si>
  <si>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</si>
  <si>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</si>
  <si>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</si>
  <si>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</si>
  <si>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</si>
  <si>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</si>
  <si>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</si>
  <si>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</si>
  <si>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</si>
  <si>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</si>
  <si>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</si>
  <si>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</si>
  <si>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</si>
  <si>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</si>
  <si>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</si>
  <si>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</si>
  <si>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</si>
  <si>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</si>
  <si>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</si>
  <si>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</si>
  <si>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</si>
  <si>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</si>
  <si>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</si>
  <si>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</si>
  <si>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</si>
  <si>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</si>
  <si>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</si>
  <si>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</si>
  <si>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</si>
  <si>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</si>
  <si>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</si>
  <si>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</si>
  <si>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</si>
  <si>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</si>
  <si>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</si>
  <si>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</si>
  <si>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</si>
  <si>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</si>
  <si>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</si>
  <si>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</si>
  <si>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</si>
  <si>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</si>
  <si>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</si>
  <si>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</si>
  <si>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</si>
  <si>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</si>
  <si>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</si>
  <si>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</si>
  <si>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</si>
  <si>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</si>
  <si>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</si>
  <si>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</si>
  <si>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</si>
  <si>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</si>
  <si>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</si>
  <si>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</si>
  <si>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</si>
  <si>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</si>
  <si>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</si>
  <si>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</si>
  <si>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</si>
  <si>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</si>
  <si>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</si>
  <si>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</si>
  <si>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</si>
  <si>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</si>
  <si>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</si>
  <si>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</si>
  <si>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</si>
  <si>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</si>
  <si>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</si>
  <si>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</si>
  <si>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</si>
  <si>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</si>
  <si>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</si>
  <si>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</si>
  <si>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</si>
  <si>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</si>
  <si>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</si>
  <si>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</si>
  <si>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</si>
  <si>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</si>
  <si>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</si>
  <si>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</si>
  <si>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</si>
  <si>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</si>
  <si>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</si>
  <si>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</si>
  <si>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</si>
  <si>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</si>
  <si>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</si>
  <si>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</si>
  <si>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</si>
  <si>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</si>
  <si>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</si>
  <si>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</si>
  <si>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</si>
  <si>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</si>
  <si>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</si>
  <si>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</si>
  <si>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</si>
  <si>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</si>
  <si>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</si>
  <si>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</si>
  <si>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</si>
  <si>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</si>
  <si>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</si>
  <si>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</si>
  <si>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</si>
  <si>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</si>
  <si>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Students Count</t>
  </si>
  <si>
    <t>Avg Math Score</t>
  </si>
  <si>
    <t>Avg Science Score</t>
  </si>
  <si>
    <t>Avg English Score</t>
  </si>
  <si>
    <t>Avg Attendance %</t>
  </si>
  <si>
    <t>count</t>
  </si>
  <si>
    <t>science</t>
  </si>
  <si>
    <t>math</t>
  </si>
  <si>
    <t>english</t>
  </si>
  <si>
    <t>attendance</t>
  </si>
  <si>
    <t>Grand Total</t>
  </si>
  <si>
    <t>Row Labels</t>
  </si>
  <si>
    <t>Average of attendance_percent</t>
  </si>
  <si>
    <t>Math Avg</t>
  </si>
  <si>
    <t>Science Avg</t>
  </si>
  <si>
    <t>English 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</si>
</sst>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6"/>
      <color theme="1"/>
      <name val="Segoe UI"/>
      <family val="2"/>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xf>
    <xf numFmtId="0"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cellXfs>
  <cellStyles count="1">
    <cellStyle name="Normal" xfId="0" builtinId="0"/>
  </cellStyles>
  <dxfs count="40">
    <dxf>
      <numFmt numFmtId="2" formatCode="0.00"/>
    </dxf>
    <dxf>
      <numFmt numFmtId="2" formatCode="0.00"/>
    </dxf>
    <dxf>
      <numFmt numFmtId="168" formatCode="0.000"/>
    </dxf>
    <dxf>
      <numFmt numFmtId="167" formatCode="0.0000"/>
    </dxf>
    <dxf>
      <numFmt numFmtId="166" formatCode="0.00000"/>
    </dxf>
    <dxf>
      <numFmt numFmtId="165" formatCode="0.000000"/>
    </dxf>
    <dxf>
      <numFmt numFmtId="164" formatCode="0.0000000"/>
    </dxf>
    <dxf>
      <numFmt numFmtId="2" formatCode="0.00"/>
    </dxf>
    <dxf>
      <numFmt numFmtId="2" formatCode="0.00"/>
    </dxf>
    <dxf>
      <numFmt numFmtId="168" formatCode="0.000"/>
    </dxf>
    <dxf>
      <numFmt numFmtId="167" formatCode="0.0000"/>
    </dxf>
    <dxf>
      <numFmt numFmtId="166" formatCode="0.00000"/>
    </dxf>
    <dxf>
      <numFmt numFmtId="165" formatCode="0.000000"/>
    </dxf>
    <dxf>
      <numFmt numFmtId="164" formatCode="0.0000000"/>
    </dxf>
    <dxf>
      <numFmt numFmtId="2" formatCode="0.00"/>
    </dxf>
    <dxf>
      <numFmt numFmtId="168" formatCode="0.000"/>
    </dxf>
    <dxf>
      <numFmt numFmtId="2" formatCode="0.00"/>
    </dxf>
    <dxf>
      <numFmt numFmtId="168" formatCode="0.000"/>
    </dxf>
    <dxf>
      <numFmt numFmtId="167" formatCode="0.0000"/>
    </dxf>
    <dxf>
      <numFmt numFmtId="166" formatCode="0.00000"/>
    </dxf>
    <dxf>
      <numFmt numFmtId="165" formatCode="0.000000"/>
    </dxf>
    <dxf>
      <numFmt numFmtId="164" formatCode="0.0000000"/>
    </dxf>
    <dxf>
      <numFmt numFmtId="2" formatCode="0.00"/>
    </dxf>
    <dxf>
      <numFmt numFmtId="168" formatCode="0.000"/>
    </dxf>
    <dxf>
      <numFmt numFmtId="167" formatCode="0.0000"/>
    </dxf>
    <dxf>
      <numFmt numFmtId="166" formatCode="0.00000"/>
    </dxf>
    <dxf>
      <numFmt numFmtId="165" formatCode="0.000000"/>
    </dxf>
    <dxf>
      <numFmt numFmtId="164" formatCode="0.0000000"/>
    </dxf>
    <dxf>
      <numFmt numFmtId="2" formatCode="0.00"/>
    </dxf>
    <dxf>
      <numFmt numFmtId="168" formatCode="0.000"/>
    </dxf>
    <dxf>
      <numFmt numFmtId="167" formatCode="0.0000"/>
    </dxf>
    <dxf>
      <numFmt numFmtId="166" formatCode="0.00000"/>
    </dxf>
    <dxf>
      <numFmt numFmtId="165" formatCode="0.000000"/>
    </dxf>
    <dxf>
      <numFmt numFmtId="164" formatCode="0.0000000"/>
    </dxf>
    <dxf>
      <numFmt numFmtId="2" formatCode="0.00"/>
    </dxf>
    <dxf>
      <numFmt numFmtId="168" formatCode="0.000"/>
    </dxf>
    <dxf>
      <numFmt numFmtId="167" formatCode="0.0000"/>
    </dxf>
    <dxf>
      <numFmt numFmtId="166" formatCode="0.00000"/>
    </dxf>
    <dxf>
      <numFmt numFmtId="165" formatCode="0.000000"/>
    </dxf>
    <dxf>
      <numFmt numFmtId="164" formatCode="0.00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10" Type="http://schemas.openxmlformats.org/officeDocument/2006/relationships/pivotCacheDefinition" Target="pivotCache/pivotCacheDefinition7.xml"/><Relationship Id="rId19" Type="http://schemas.microsoft.com/office/2007/relationships/slicerCache" Target="slicerCaches/slicerCache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analysis.xlsx]Pivot!PivotTable1</c:name>
    <c:fmtId val="11"/>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t>Avg Attendance by Gender</a:t>
            </a:r>
          </a:p>
        </c:rich>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lumMod val="75000"/>
            </a:schemeClr>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Pivot!$D$3</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B278-4D1D-8977-42A050EC9A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78-4D1D-8977-42A050EC9A99}"/>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Pivot!$C$4:$C$6</c:f>
              <c:strCache>
                <c:ptCount val="2"/>
                <c:pt idx="0">
                  <c:v>Female</c:v>
                </c:pt>
                <c:pt idx="1">
                  <c:v>Male</c:v>
                </c:pt>
              </c:strCache>
            </c:strRef>
          </c:cat>
          <c:val>
            <c:numRef>
              <c:f>Pivot!$D$4:$D$6</c:f>
              <c:numCache>
                <c:formatCode>0.00</c:formatCode>
                <c:ptCount val="2"/>
                <c:pt idx="0">
                  <c:v>80.047586206896554</c:v>
                </c:pt>
                <c:pt idx="1">
                  <c:v>80.249477611940307</c:v>
                </c:pt>
              </c:numCache>
            </c:numRef>
          </c:val>
          <c:extLst>
            <c:ext xmlns:c16="http://schemas.microsoft.com/office/drawing/2014/chart" uri="{C3380CC4-5D6E-409C-BE32-E72D297353CC}">
              <c16:uniqueId val="{00000004-B278-4D1D-8977-42A050EC9A9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accent1">
        <a:lumMod val="75000"/>
      </a:schemeClr>
    </a:solidFill>
    <a:ln w="9525" cap="flat" cmpd="sng" algn="ctr">
      <a:noFill/>
      <a:round/>
    </a:ln>
    <a:effectLst>
      <a:softEdge rad="0"/>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analysis.xlsx]Pivot!PivotTable7</c:name>
    <c:fmtId val="2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bg1"/>
                </a:solidFill>
              </a:rPr>
              <a:t>Avg</a:t>
            </a:r>
            <a:r>
              <a:rPr lang="en-IN" sz="1600" b="1" baseline="0">
                <a:solidFill>
                  <a:schemeClr val="bg1"/>
                </a:solidFill>
              </a:rPr>
              <a:t> Attendance % by Grade</a:t>
            </a:r>
            <a:endParaRPr lang="en-IN" sz="1600" b="1">
              <a:solidFill>
                <a:schemeClr val="bg1"/>
              </a:solidFill>
            </a:endParaRPr>
          </a:p>
        </c:rich>
      </c:tx>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pivotFmt>
      <c:pivotFmt>
        <c:idx val="3"/>
        <c:spPr>
          <a:solidFill>
            <a:schemeClr val="accent2">
              <a:lumMod val="40000"/>
              <a:lumOff val="6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Pivot!$D$8</c:f>
              <c:strCache>
                <c:ptCount val="1"/>
                <c:pt idx="0">
                  <c:v>Total</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Pivot!$C$9:$C$13</c:f>
              <c:strCache>
                <c:ptCount val="4"/>
                <c:pt idx="0">
                  <c:v>Grade 10</c:v>
                </c:pt>
                <c:pt idx="1">
                  <c:v>Grade 11</c:v>
                </c:pt>
                <c:pt idx="2">
                  <c:v>Grade 12</c:v>
                </c:pt>
                <c:pt idx="3">
                  <c:v>Grade 9</c:v>
                </c:pt>
              </c:strCache>
            </c:strRef>
          </c:cat>
          <c:val>
            <c:numRef>
              <c:f>Pivot!$D$9:$D$13</c:f>
              <c:numCache>
                <c:formatCode>0.00</c:formatCode>
                <c:ptCount val="4"/>
                <c:pt idx="0">
                  <c:v>79.583880597014925</c:v>
                </c:pt>
                <c:pt idx="1">
                  <c:v>80.297619047619051</c:v>
                </c:pt>
                <c:pt idx="2">
                  <c:v>78.126724137931035</c:v>
                </c:pt>
                <c:pt idx="3">
                  <c:v>82.52790322580644</c:v>
                </c:pt>
              </c:numCache>
            </c:numRef>
          </c:val>
          <c:extLst>
            <c:ext xmlns:c16="http://schemas.microsoft.com/office/drawing/2014/chart" uri="{C3380CC4-5D6E-409C-BE32-E72D297353CC}">
              <c16:uniqueId val="{00000000-72E4-4671-B461-366D000EFFCF}"/>
            </c:ext>
          </c:extLst>
        </c:ser>
        <c:dLbls>
          <c:dLblPos val="outEnd"/>
          <c:showLegendKey val="0"/>
          <c:showVal val="1"/>
          <c:showCatName val="0"/>
          <c:showSerName val="0"/>
          <c:showPercent val="0"/>
          <c:showBubbleSize val="0"/>
        </c:dLbls>
        <c:gapWidth val="150"/>
        <c:axId val="485544576"/>
        <c:axId val="485543744"/>
      </c:barChart>
      <c:catAx>
        <c:axId val="48554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85543744"/>
        <c:crosses val="autoZero"/>
        <c:auto val="1"/>
        <c:lblAlgn val="ctr"/>
        <c:lblOffset val="100"/>
        <c:noMultiLvlLbl val="0"/>
      </c:catAx>
      <c:valAx>
        <c:axId val="4855437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85544576"/>
        <c:crosses val="autoZero"/>
        <c:crossBetween val="between"/>
      </c:valAx>
      <c:spPr>
        <a:noFill/>
        <a:ln>
          <a:noFill/>
        </a:ln>
        <a:effectLst/>
      </c:spPr>
    </c:plotArea>
    <c:plotVisOnly val="1"/>
    <c:dispBlanksAs val="gap"/>
    <c:showDLblsOverMax val="0"/>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analysis.xlsx]Pivot!PivotTable8</c:name>
    <c:fmtId val="29"/>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Avg</a:t>
            </a:r>
            <a:r>
              <a:rPr lang="en-US" sz="1600" b="1" baseline="0">
                <a:solidFill>
                  <a:schemeClr val="bg1"/>
                </a:solidFill>
              </a:rPr>
              <a:t> Attendance % by Group</a:t>
            </a:r>
            <a:endParaRPr lang="en-US" sz="1600" b="1">
              <a:solidFill>
                <a:schemeClr val="bg1"/>
              </a:solidFill>
            </a:endParaRPr>
          </a:p>
        </c:rich>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pivotFmt>
    </c:pivotFmts>
    <c:plotArea>
      <c:layout/>
      <c:barChart>
        <c:barDir val="bar"/>
        <c:grouping val="clustered"/>
        <c:varyColors val="0"/>
        <c:ser>
          <c:idx val="0"/>
          <c:order val="0"/>
          <c:tx>
            <c:strRef>
              <c:f>Pivot!$D$15</c:f>
              <c:strCache>
                <c:ptCount val="1"/>
                <c:pt idx="0">
                  <c:v>Total</c:v>
                </c:pt>
              </c:strCache>
            </c:strRef>
          </c:tx>
          <c:spPr>
            <a:solidFill>
              <a:schemeClr val="accent2">
                <a:lumMod val="60000"/>
                <a:lumOff val="40000"/>
              </a:schemeClr>
            </a:solidFill>
            <a:ln>
              <a:noFill/>
            </a:ln>
            <a:effectLst/>
          </c:spPr>
          <c:invertIfNegative val="0"/>
          <c:dLbls>
            <c:delete val="1"/>
          </c:dLbls>
          <c:cat>
            <c:strRef>
              <c:f>Pivot!$C$16:$C$19</c:f>
              <c:strCache>
                <c:ptCount val="3"/>
                <c:pt idx="0">
                  <c:v>Group A</c:v>
                </c:pt>
                <c:pt idx="1">
                  <c:v>Group B</c:v>
                </c:pt>
                <c:pt idx="2">
                  <c:v>Group C</c:v>
                </c:pt>
              </c:strCache>
            </c:strRef>
          </c:cat>
          <c:val>
            <c:numRef>
              <c:f>Pivot!$D$16:$D$19</c:f>
              <c:numCache>
                <c:formatCode>0.00</c:formatCode>
                <c:ptCount val="3"/>
                <c:pt idx="0">
                  <c:v>80.369878048780492</c:v>
                </c:pt>
                <c:pt idx="1">
                  <c:v>79.606046511627909</c:v>
                </c:pt>
                <c:pt idx="2">
                  <c:v>80.518292682926827</c:v>
                </c:pt>
              </c:numCache>
            </c:numRef>
          </c:val>
          <c:extLst>
            <c:ext xmlns:c16="http://schemas.microsoft.com/office/drawing/2014/chart" uri="{C3380CC4-5D6E-409C-BE32-E72D297353CC}">
              <c16:uniqueId val="{00000000-9029-4666-92C1-72488D05E423}"/>
            </c:ext>
          </c:extLst>
        </c:ser>
        <c:dLbls>
          <c:dLblPos val="outEnd"/>
          <c:showLegendKey val="0"/>
          <c:showVal val="1"/>
          <c:showCatName val="0"/>
          <c:showSerName val="0"/>
          <c:showPercent val="0"/>
          <c:showBubbleSize val="0"/>
        </c:dLbls>
        <c:gapWidth val="79"/>
        <c:axId val="611942704"/>
        <c:axId val="611956848"/>
      </c:barChart>
      <c:catAx>
        <c:axId val="611942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611956848"/>
        <c:crosses val="autoZero"/>
        <c:auto val="1"/>
        <c:lblAlgn val="ctr"/>
        <c:lblOffset val="100"/>
        <c:noMultiLvlLbl val="0"/>
      </c:catAx>
      <c:valAx>
        <c:axId val="61195684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611942704"/>
        <c:crosses val="autoZero"/>
        <c:crossBetween val="between"/>
      </c:valAx>
      <c:spPr>
        <a:noFill/>
        <a:ln>
          <a:noFill/>
        </a:ln>
        <a:effectLst/>
      </c:spPr>
    </c:plotArea>
    <c:plotVisOnly val="1"/>
    <c:dispBlanksAs val="gap"/>
    <c:showDLblsOverMax val="0"/>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analysis.xlsx]Pivot!PivotTable9</c:name>
    <c:fmtId val="32"/>
  </c:pivotSource>
  <c:chart>
    <c:title>
      <c:tx>
        <c:rich>
          <a:bodyPr rot="0" spcFirstLastPara="1" vertOverflow="ellipsis" vert="horz" wrap="square" anchor="ctr" anchorCtr="1"/>
          <a:lstStyle/>
          <a:p>
            <a:pPr>
              <a:defRPr sz="1400" b="1" i="0" u="none" strike="noStrike" kern="1200" cap="all" spc="100" normalizeH="0" baseline="0">
                <a:solidFill>
                  <a:schemeClr val="lt1"/>
                </a:solidFill>
                <a:latin typeface="+mn-lt"/>
                <a:ea typeface="+mn-ea"/>
                <a:cs typeface="+mn-cs"/>
              </a:defRPr>
            </a:pPr>
            <a:r>
              <a:rPr lang="en-US" sz="1400">
                <a:latin typeface="Arial" panose="020B0604020202020204" pitchFamily="34" charset="0"/>
                <a:cs typeface="Arial" panose="020B0604020202020204" pitchFamily="34" charset="0"/>
              </a:rPr>
              <a:t>avg Attendance % by Extracurricular</a:t>
            </a:r>
          </a:p>
        </c:rich>
      </c:tx>
      <c:layout/>
      <c:overlay val="0"/>
      <c:spPr>
        <a:noFill/>
        <a:ln>
          <a:noFill/>
        </a:ln>
        <a:effectLst/>
      </c:spPr>
      <c:txPr>
        <a:bodyPr rot="0" spcFirstLastPara="1" vertOverflow="ellipsis" vert="horz" wrap="square" anchor="ctr" anchorCtr="1"/>
        <a:lstStyle/>
        <a:p>
          <a:pPr>
            <a:defRPr sz="14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areaChart>
        <c:grouping val="standard"/>
        <c:varyColors val="0"/>
        <c:ser>
          <c:idx val="0"/>
          <c:order val="0"/>
          <c:tx>
            <c:strRef>
              <c:f>Pivot!$D$21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strRef>
              <c:f>Pivot!$C$22:$C$26</c:f>
              <c:strCache>
                <c:ptCount val="4"/>
                <c:pt idx="0">
                  <c:v>Art</c:v>
                </c:pt>
                <c:pt idx="1">
                  <c:v>Music</c:v>
                </c:pt>
                <c:pt idx="2">
                  <c:v>None</c:v>
                </c:pt>
                <c:pt idx="3">
                  <c:v>Sports</c:v>
                </c:pt>
              </c:strCache>
            </c:strRef>
          </c:cat>
          <c:val>
            <c:numRef>
              <c:f>Pivot!$D$22:$D$26</c:f>
              <c:numCache>
                <c:formatCode>0.00</c:formatCode>
                <c:ptCount val="4"/>
                <c:pt idx="0">
                  <c:v>80.95394366197182</c:v>
                </c:pt>
                <c:pt idx="1">
                  <c:v>80.468135593220339</c:v>
                </c:pt>
                <c:pt idx="2">
                  <c:v>78.496296296296293</c:v>
                </c:pt>
                <c:pt idx="3">
                  <c:v>80.375757575757575</c:v>
                </c:pt>
              </c:numCache>
            </c:numRef>
          </c:val>
          <c:extLst>
            <c:ext xmlns:c16="http://schemas.microsoft.com/office/drawing/2014/chart" uri="{C3380CC4-5D6E-409C-BE32-E72D297353CC}">
              <c16:uniqueId val="{00000000-9BB4-4C8E-BE27-D7AB89EEE29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85544992"/>
        <c:axId val="485547904"/>
      </c:areaChart>
      <c:catAx>
        <c:axId val="48554499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crossAx val="485547904"/>
        <c:crosses val="autoZero"/>
        <c:auto val="1"/>
        <c:lblAlgn val="ctr"/>
        <c:lblOffset val="100"/>
        <c:noMultiLvlLbl val="0"/>
      </c:catAx>
      <c:valAx>
        <c:axId val="485547904"/>
        <c:scaling>
          <c:orientation val="minMax"/>
        </c:scaling>
        <c:delete val="1"/>
        <c:axPos val="l"/>
        <c:numFmt formatCode="0.00" sourceLinked="1"/>
        <c:majorTickMark val="out"/>
        <c:minorTickMark val="none"/>
        <c:tickLblPos val="nextTo"/>
        <c:crossAx val="485544992"/>
        <c:crosses val="autoZero"/>
        <c:crossBetween val="midCat"/>
      </c:valAx>
      <c:spPr>
        <a:noFill/>
        <a:ln>
          <a:noFill/>
        </a:ln>
        <a:effectLst/>
      </c:spPr>
    </c:plotArea>
    <c:plotVisOnly val="1"/>
    <c:dispBlanksAs val="zero"/>
    <c:showDLblsOverMax val="0"/>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analysis.xlsx]Pivot!PivotTable10</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1"/>
                </a:solidFill>
              </a:rPr>
              <a:t>Avg</a:t>
            </a:r>
            <a:r>
              <a:rPr lang="en-IN" sz="1600" b="1" baseline="0">
                <a:solidFill>
                  <a:schemeClr val="bg1"/>
                </a:solidFill>
              </a:rPr>
              <a:t> Scores by Grade</a:t>
            </a:r>
            <a:endParaRPr lang="en-IN" sz="1600" b="1">
              <a:solidFill>
                <a:schemeClr val="bg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20000"/>
              <a:lumOff val="80000"/>
            </a:schemeClr>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4">
              <a:lumMod val="40000"/>
              <a:lumOff val="60000"/>
            </a:schemeClr>
          </a:solidFill>
          <a:ln>
            <a:noFill/>
          </a:ln>
          <a:effectLst/>
        </c:spPr>
        <c:marker>
          <c:symbol val="none"/>
        </c:marker>
      </c:pivotFmt>
      <c:pivotFmt>
        <c:idx val="6"/>
        <c:spPr>
          <a:solidFill>
            <a:schemeClr val="accent2">
              <a:lumMod val="20000"/>
              <a:lumOff val="80000"/>
            </a:schemeClr>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4">
              <a:lumMod val="40000"/>
              <a:lumOff val="60000"/>
            </a:schemeClr>
          </a:solidFill>
          <a:ln>
            <a:noFill/>
          </a:ln>
          <a:effectLst/>
        </c:spPr>
        <c:marker>
          <c:symbol val="none"/>
        </c:marker>
      </c:pivotFmt>
    </c:pivotFmts>
    <c:plotArea>
      <c:layout>
        <c:manualLayout>
          <c:layoutTarget val="inner"/>
          <c:xMode val="edge"/>
          <c:yMode val="edge"/>
          <c:x val="0.13895332144255448"/>
          <c:y val="0.19234836859450077"/>
          <c:w val="0.74765157117791214"/>
          <c:h val="0.65163341802721941"/>
        </c:manualLayout>
      </c:layout>
      <c:barChart>
        <c:barDir val="col"/>
        <c:grouping val="clustered"/>
        <c:varyColors val="0"/>
        <c:ser>
          <c:idx val="0"/>
          <c:order val="0"/>
          <c:tx>
            <c:strRef>
              <c:f>Pivot!$G$2</c:f>
              <c:strCache>
                <c:ptCount val="1"/>
                <c:pt idx="0">
                  <c:v>Math Avg</c:v>
                </c:pt>
              </c:strCache>
            </c:strRef>
          </c:tx>
          <c:spPr>
            <a:solidFill>
              <a:schemeClr val="accent2">
                <a:lumMod val="20000"/>
                <a:lumOff val="80000"/>
              </a:schemeClr>
            </a:solidFill>
            <a:ln>
              <a:noFill/>
            </a:ln>
            <a:effectLst/>
          </c:spPr>
          <c:invertIfNegative val="0"/>
          <c:cat>
            <c:strRef>
              <c:f>Pivot!$F$3:$F$7</c:f>
              <c:strCache>
                <c:ptCount val="4"/>
                <c:pt idx="0">
                  <c:v>Grade 10</c:v>
                </c:pt>
                <c:pt idx="1">
                  <c:v>Grade 11</c:v>
                </c:pt>
                <c:pt idx="2">
                  <c:v>Grade 12</c:v>
                </c:pt>
                <c:pt idx="3">
                  <c:v>Grade 9</c:v>
                </c:pt>
              </c:strCache>
            </c:strRef>
          </c:cat>
          <c:val>
            <c:numRef>
              <c:f>Pivot!$G$3:$G$7</c:f>
              <c:numCache>
                <c:formatCode>0.00</c:formatCode>
                <c:ptCount val="4"/>
                <c:pt idx="0">
                  <c:v>68.447761194029852</c:v>
                </c:pt>
                <c:pt idx="1">
                  <c:v>68.761904761904759</c:v>
                </c:pt>
                <c:pt idx="2">
                  <c:v>76.793103448275858</c:v>
                </c:pt>
                <c:pt idx="3">
                  <c:v>66.225806451612897</c:v>
                </c:pt>
              </c:numCache>
            </c:numRef>
          </c:val>
          <c:extLst>
            <c:ext xmlns:c16="http://schemas.microsoft.com/office/drawing/2014/chart" uri="{C3380CC4-5D6E-409C-BE32-E72D297353CC}">
              <c16:uniqueId val="{00000000-2AD1-432C-9FD7-DE252187E569}"/>
            </c:ext>
          </c:extLst>
        </c:ser>
        <c:ser>
          <c:idx val="1"/>
          <c:order val="1"/>
          <c:tx>
            <c:strRef>
              <c:f>Pivot!$H$2</c:f>
              <c:strCache>
                <c:ptCount val="1"/>
                <c:pt idx="0">
                  <c:v>Science Avg</c:v>
                </c:pt>
              </c:strCache>
            </c:strRef>
          </c:tx>
          <c:spPr>
            <a:solidFill>
              <a:schemeClr val="accent2"/>
            </a:solidFill>
            <a:ln>
              <a:noFill/>
            </a:ln>
            <a:effectLst/>
          </c:spPr>
          <c:invertIfNegative val="0"/>
          <c:cat>
            <c:strRef>
              <c:f>Pivot!$F$3:$F$7</c:f>
              <c:strCache>
                <c:ptCount val="4"/>
                <c:pt idx="0">
                  <c:v>Grade 10</c:v>
                </c:pt>
                <c:pt idx="1">
                  <c:v>Grade 11</c:v>
                </c:pt>
                <c:pt idx="2">
                  <c:v>Grade 12</c:v>
                </c:pt>
                <c:pt idx="3">
                  <c:v>Grade 9</c:v>
                </c:pt>
              </c:strCache>
            </c:strRef>
          </c:cat>
          <c:val>
            <c:numRef>
              <c:f>Pivot!$H$3:$H$7</c:f>
              <c:numCache>
                <c:formatCode>0.00</c:formatCode>
                <c:ptCount val="4"/>
                <c:pt idx="0">
                  <c:v>68.492537313432834</c:v>
                </c:pt>
                <c:pt idx="1">
                  <c:v>69.650793650793645</c:v>
                </c:pt>
                <c:pt idx="2">
                  <c:v>70.58620689655173</c:v>
                </c:pt>
                <c:pt idx="3">
                  <c:v>70.758064516129039</c:v>
                </c:pt>
              </c:numCache>
            </c:numRef>
          </c:val>
          <c:extLst>
            <c:ext xmlns:c16="http://schemas.microsoft.com/office/drawing/2014/chart" uri="{C3380CC4-5D6E-409C-BE32-E72D297353CC}">
              <c16:uniqueId val="{00000001-2AD1-432C-9FD7-DE252187E569}"/>
            </c:ext>
          </c:extLst>
        </c:ser>
        <c:ser>
          <c:idx val="2"/>
          <c:order val="2"/>
          <c:tx>
            <c:strRef>
              <c:f>Pivot!$I$2</c:f>
              <c:strCache>
                <c:ptCount val="1"/>
                <c:pt idx="0">
                  <c:v>English Avg</c:v>
                </c:pt>
              </c:strCache>
            </c:strRef>
          </c:tx>
          <c:spPr>
            <a:solidFill>
              <a:schemeClr val="accent4">
                <a:lumMod val="40000"/>
                <a:lumOff val="60000"/>
              </a:schemeClr>
            </a:solidFill>
            <a:ln>
              <a:noFill/>
            </a:ln>
            <a:effectLst/>
          </c:spPr>
          <c:invertIfNegative val="0"/>
          <c:cat>
            <c:strRef>
              <c:f>Pivot!$F$3:$F$7</c:f>
              <c:strCache>
                <c:ptCount val="4"/>
                <c:pt idx="0">
                  <c:v>Grade 10</c:v>
                </c:pt>
                <c:pt idx="1">
                  <c:v>Grade 11</c:v>
                </c:pt>
                <c:pt idx="2">
                  <c:v>Grade 12</c:v>
                </c:pt>
                <c:pt idx="3">
                  <c:v>Grade 9</c:v>
                </c:pt>
              </c:strCache>
            </c:strRef>
          </c:cat>
          <c:val>
            <c:numRef>
              <c:f>Pivot!$I$3:$I$7</c:f>
              <c:numCache>
                <c:formatCode>0.00</c:formatCode>
                <c:ptCount val="4"/>
                <c:pt idx="0">
                  <c:v>69.462686567164184</c:v>
                </c:pt>
                <c:pt idx="1">
                  <c:v>70.587301587301582</c:v>
                </c:pt>
                <c:pt idx="2">
                  <c:v>72.758620689655174</c:v>
                </c:pt>
                <c:pt idx="3">
                  <c:v>66.677419354838705</c:v>
                </c:pt>
              </c:numCache>
            </c:numRef>
          </c:val>
          <c:extLst>
            <c:ext xmlns:c16="http://schemas.microsoft.com/office/drawing/2014/chart" uri="{C3380CC4-5D6E-409C-BE32-E72D297353CC}">
              <c16:uniqueId val="{00000002-2AD1-432C-9FD7-DE252187E569}"/>
            </c:ext>
          </c:extLst>
        </c:ser>
        <c:dLbls>
          <c:showLegendKey val="0"/>
          <c:showVal val="0"/>
          <c:showCatName val="0"/>
          <c:showSerName val="0"/>
          <c:showPercent val="0"/>
          <c:showBubbleSize val="0"/>
        </c:dLbls>
        <c:gapWidth val="219"/>
        <c:overlap val="-27"/>
        <c:axId val="605281936"/>
        <c:axId val="605282768"/>
      </c:barChart>
      <c:catAx>
        <c:axId val="60528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05282768"/>
        <c:crosses val="autoZero"/>
        <c:auto val="1"/>
        <c:lblAlgn val="ctr"/>
        <c:lblOffset val="100"/>
        <c:noMultiLvlLbl val="0"/>
      </c:catAx>
      <c:valAx>
        <c:axId val="6052827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05281936"/>
        <c:crosses val="autoZero"/>
        <c:crossBetween val="between"/>
      </c:valAx>
      <c:spPr>
        <a:noFill/>
        <a:ln>
          <a:noFill/>
        </a:ln>
        <a:effectLst/>
      </c:spPr>
    </c:plotArea>
    <c:legend>
      <c:legendPos val="r"/>
      <c:layout>
        <c:manualLayout>
          <c:xMode val="edge"/>
          <c:yMode val="edge"/>
          <c:x val="0.76874117254680185"/>
          <c:y val="4.4327941435435593E-2"/>
          <c:w val="0.21284262119168801"/>
          <c:h val="0.2212482704837613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[Student performance analysis.xlsx]Pivot!PivotTable11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1"/>
                </a:solidFill>
              </a:rPr>
              <a:t>Avg</a:t>
            </a:r>
            <a:r>
              <a:rPr lang="en-IN" sz="1600" b="1" baseline="0">
                <a:solidFill>
                  <a:schemeClr val="bg1"/>
                </a:solidFill>
              </a:rPr>
              <a:t> Scores by Gender</a:t>
            </a:r>
            <a:endParaRPr lang="en-IN" sz="1600" b="1">
              <a:solidFill>
                <a:schemeClr val="bg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Pivot!$G$9</c:f>
              <c:strCache>
                <c:ptCount val="1"/>
                <c:pt idx="0">
                  <c:v>Math Avg</c:v>
                </c:pt>
              </c:strCache>
            </c:strRef>
          </c:tx>
          <c:spPr>
            <a:solidFill>
              <a:schemeClr val="accent1"/>
            </a:solidFill>
            <a:ln>
              <a:noFill/>
            </a:ln>
            <a:effectLst/>
          </c:spPr>
          <c:invertIfNegative val="0"/>
          <c:cat>
            <c:strRef>
              <c:f>Pivot!$F$10:$F$12</c:f>
              <c:strCache>
                <c:ptCount val="2"/>
                <c:pt idx="0">
                  <c:v>Female</c:v>
                </c:pt>
                <c:pt idx="1">
                  <c:v>Male</c:v>
                </c:pt>
              </c:strCache>
            </c:strRef>
          </c:cat>
          <c:val>
            <c:numRef>
              <c:f>Pivot!$G$10:$G$12</c:f>
              <c:numCache>
                <c:formatCode>0.00</c:formatCode>
                <c:ptCount val="2"/>
                <c:pt idx="0">
                  <c:v>69.887931034482762</c:v>
                </c:pt>
                <c:pt idx="1">
                  <c:v>69.932835820895519</c:v>
                </c:pt>
              </c:numCache>
            </c:numRef>
          </c:val>
          <c:extLst>
            <c:ext xmlns:c16="http://schemas.microsoft.com/office/drawing/2014/chart" uri="{C3380CC4-5D6E-409C-BE32-E72D297353CC}">
              <c16:uniqueId val="{00000000-28A8-4498-A901-8306CDBDA976}"/>
            </c:ext>
          </c:extLst>
        </c:ser>
        <c:ser>
          <c:idx val="1"/>
          <c:order val="1"/>
          <c:tx>
            <c:strRef>
              <c:f>Pivot!$H$9</c:f>
              <c:strCache>
                <c:ptCount val="1"/>
                <c:pt idx="0">
                  <c:v>Science Avg</c:v>
                </c:pt>
              </c:strCache>
            </c:strRef>
          </c:tx>
          <c:spPr>
            <a:solidFill>
              <a:schemeClr val="accent2"/>
            </a:solidFill>
            <a:ln>
              <a:noFill/>
            </a:ln>
            <a:effectLst/>
          </c:spPr>
          <c:invertIfNegative val="0"/>
          <c:cat>
            <c:strRef>
              <c:f>Pivot!$F$10:$F$12</c:f>
              <c:strCache>
                <c:ptCount val="2"/>
                <c:pt idx="0">
                  <c:v>Female</c:v>
                </c:pt>
                <c:pt idx="1">
                  <c:v>Male</c:v>
                </c:pt>
              </c:strCache>
            </c:strRef>
          </c:cat>
          <c:val>
            <c:numRef>
              <c:f>Pivot!$H$10:$H$12</c:f>
              <c:numCache>
                <c:formatCode>0.00</c:formatCode>
                <c:ptCount val="2"/>
                <c:pt idx="0">
                  <c:v>69.810344827586206</c:v>
                </c:pt>
                <c:pt idx="1">
                  <c:v>69.850746268656721</c:v>
                </c:pt>
              </c:numCache>
            </c:numRef>
          </c:val>
          <c:extLst>
            <c:ext xmlns:c16="http://schemas.microsoft.com/office/drawing/2014/chart" uri="{C3380CC4-5D6E-409C-BE32-E72D297353CC}">
              <c16:uniqueId val="{00000001-28A8-4498-A901-8306CDBDA976}"/>
            </c:ext>
          </c:extLst>
        </c:ser>
        <c:ser>
          <c:idx val="2"/>
          <c:order val="2"/>
          <c:tx>
            <c:strRef>
              <c:f>Pivot!$I$9</c:f>
              <c:strCache>
                <c:ptCount val="1"/>
                <c:pt idx="0">
                  <c:v>English Avg</c:v>
                </c:pt>
              </c:strCache>
            </c:strRef>
          </c:tx>
          <c:spPr>
            <a:solidFill>
              <a:schemeClr val="accent3"/>
            </a:solidFill>
            <a:ln>
              <a:noFill/>
            </a:ln>
            <a:effectLst/>
          </c:spPr>
          <c:invertIfNegative val="0"/>
          <c:cat>
            <c:strRef>
              <c:f>Pivot!$F$10:$F$12</c:f>
              <c:strCache>
                <c:ptCount val="2"/>
                <c:pt idx="0">
                  <c:v>Female</c:v>
                </c:pt>
                <c:pt idx="1">
                  <c:v>Male</c:v>
                </c:pt>
              </c:strCache>
            </c:strRef>
          </c:cat>
          <c:val>
            <c:numRef>
              <c:f>Pivot!$I$10:$I$12</c:f>
              <c:numCache>
                <c:formatCode>0.00</c:formatCode>
                <c:ptCount val="2"/>
                <c:pt idx="0">
                  <c:v>69.991379310344826</c:v>
                </c:pt>
                <c:pt idx="1">
                  <c:v>69.671641791044777</c:v>
                </c:pt>
              </c:numCache>
            </c:numRef>
          </c:val>
          <c:extLst>
            <c:ext xmlns:c16="http://schemas.microsoft.com/office/drawing/2014/chart" uri="{C3380CC4-5D6E-409C-BE32-E72D297353CC}">
              <c16:uniqueId val="{00000002-28A8-4498-A901-8306CDBDA976}"/>
            </c:ext>
          </c:extLst>
        </c:ser>
        <c:dLbls>
          <c:showLegendKey val="0"/>
          <c:showVal val="0"/>
          <c:showCatName val="0"/>
          <c:showSerName val="0"/>
          <c:showPercent val="0"/>
          <c:showBubbleSize val="0"/>
        </c:dLbls>
        <c:gapWidth val="219"/>
        <c:overlap val="-27"/>
        <c:axId val="1217664208"/>
        <c:axId val="1217670032"/>
      </c:barChart>
      <c:catAx>
        <c:axId val="121766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217670032"/>
        <c:crosses val="autoZero"/>
        <c:auto val="1"/>
        <c:lblAlgn val="ctr"/>
        <c:lblOffset val="100"/>
        <c:noMultiLvlLbl val="0"/>
      </c:catAx>
      <c:valAx>
        <c:axId val="12176700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217664208"/>
        <c:crosses val="autoZero"/>
        <c:crossBetween val="between"/>
      </c:valAx>
      <c:spPr>
        <a:noFill/>
        <a:ln>
          <a:noFill/>
        </a:ln>
        <a:effectLst/>
      </c:spPr>
    </c:plotArea>
    <c:legend>
      <c:legendPos val="r"/>
      <c:layout>
        <c:manualLayout>
          <c:xMode val="edge"/>
          <c:yMode val="edge"/>
          <c:x val="0.79926639301768132"/>
          <c:y val="0.21175162963784455"/>
          <c:w val="0.18524174021237275"/>
          <c:h val="0.279344941037299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accent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44450</xdr:rowOff>
    </xdr:from>
    <xdr:to>
      <xdr:col>15</xdr:col>
      <xdr:colOff>603250</xdr:colOff>
      <xdr:row>3</xdr:row>
      <xdr:rowOff>158750</xdr:rowOff>
    </xdr:to>
    <xdr:sp macro="" textlink="">
      <xdr:nvSpPr>
        <xdr:cNvPr id="2" name="Rounded Rectangle 1"/>
        <xdr:cNvSpPr/>
      </xdr:nvSpPr>
      <xdr:spPr>
        <a:xfrm>
          <a:off x="57150" y="44450"/>
          <a:ext cx="9690100" cy="66675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IN" sz="3200" b="1" cap="none" spc="0">
              <a:ln w="0"/>
              <a:solidFill>
                <a:schemeClr val="bg1"/>
              </a:solidFill>
              <a:effectLst>
                <a:outerShdw blurRad="38100" dist="19050" dir="2700000" algn="tl" rotWithShape="0">
                  <a:schemeClr val="dk1">
                    <a:alpha val="40000"/>
                  </a:schemeClr>
                </a:outerShdw>
              </a:effectLst>
            </a:rPr>
            <a:t>Students Performance Analysis Dashboard</a:t>
          </a:r>
        </a:p>
      </xdr:txBody>
    </xdr:sp>
    <xdr:clientData/>
  </xdr:twoCellAnchor>
  <xdr:twoCellAnchor editAs="oneCell">
    <xdr:from>
      <xdr:col>0</xdr:col>
      <xdr:colOff>215900</xdr:colOff>
      <xdr:row>0</xdr:row>
      <xdr:rowOff>107950</xdr:rowOff>
    </xdr:from>
    <xdr:to>
      <xdr:col>1</xdr:col>
      <xdr:colOff>457199</xdr:colOff>
      <xdr:row>3</xdr:row>
      <xdr:rowOff>113374</xdr:rowOff>
    </xdr:to>
    <xdr:pic>
      <xdr:nvPicPr>
        <xdr:cNvPr id="3" name="Picture 2" descr="Image icon ~ TukTuk Design"/>
        <xdr:cNvPicPr>
          <a:picLocks noChangeAspect="1"/>
        </xdr:cNvPicPr>
      </xdr:nvPicPr>
      <xdr:blipFill>
        <a:blip xmlns:r="http://schemas.openxmlformats.org/officeDocument/2006/relationships" r:embed="rId1"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215900" y="107950"/>
          <a:ext cx="850899" cy="557874"/>
        </a:xfrm>
        <a:prstGeom prst="rect">
          <a:avLst/>
        </a:prstGeom>
        <a:ln>
          <a:noFill/>
        </a:ln>
        <a:effectLst>
          <a:softEdge rad="112500"/>
        </a:effectLst>
      </xdr:spPr>
    </xdr:pic>
    <xdr:clientData/>
  </xdr:twoCellAnchor>
  <xdr:twoCellAnchor>
    <xdr:from>
      <xdr:col>3</xdr:col>
      <xdr:colOff>241300</xdr:colOff>
      <xdr:row>4</xdr:row>
      <xdr:rowOff>177800</xdr:rowOff>
    </xdr:from>
    <xdr:to>
      <xdr:col>6</xdr:col>
      <xdr:colOff>152400</xdr:colOff>
      <xdr:row>8</xdr:row>
      <xdr:rowOff>6350</xdr:rowOff>
    </xdr:to>
    <xdr:sp macro="" textlink="">
      <xdr:nvSpPr>
        <xdr:cNvPr id="5" name="Rounded Rectangle 4"/>
        <xdr:cNvSpPr/>
      </xdr:nvSpPr>
      <xdr:spPr>
        <a:xfrm>
          <a:off x="2070100" y="914400"/>
          <a:ext cx="1739900" cy="565150"/>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Avg Science Score</a:t>
          </a:r>
        </a:p>
      </xdr:txBody>
    </xdr:sp>
    <xdr:clientData/>
  </xdr:twoCellAnchor>
  <xdr:twoCellAnchor>
    <xdr:from>
      <xdr:col>6</xdr:col>
      <xdr:colOff>317500</xdr:colOff>
      <xdr:row>4</xdr:row>
      <xdr:rowOff>177800</xdr:rowOff>
    </xdr:from>
    <xdr:to>
      <xdr:col>9</xdr:col>
      <xdr:colOff>190500</xdr:colOff>
      <xdr:row>8</xdr:row>
      <xdr:rowOff>6350</xdr:rowOff>
    </xdr:to>
    <xdr:sp macro="" textlink="">
      <xdr:nvSpPr>
        <xdr:cNvPr id="6" name="Rounded Rectangle 5"/>
        <xdr:cNvSpPr/>
      </xdr:nvSpPr>
      <xdr:spPr>
        <a:xfrm>
          <a:off x="3975100" y="914400"/>
          <a:ext cx="1701800" cy="565150"/>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Avg Math Score</a:t>
          </a:r>
        </a:p>
      </xdr:txBody>
    </xdr:sp>
    <xdr:clientData/>
  </xdr:twoCellAnchor>
  <xdr:twoCellAnchor>
    <xdr:from>
      <xdr:col>9</xdr:col>
      <xdr:colOff>361950</xdr:colOff>
      <xdr:row>4</xdr:row>
      <xdr:rowOff>177800</xdr:rowOff>
    </xdr:from>
    <xdr:to>
      <xdr:col>12</xdr:col>
      <xdr:colOff>273050</xdr:colOff>
      <xdr:row>8</xdr:row>
      <xdr:rowOff>6350</xdr:rowOff>
    </xdr:to>
    <xdr:sp macro="" textlink="">
      <xdr:nvSpPr>
        <xdr:cNvPr id="7" name="Rounded Rectangle 6"/>
        <xdr:cNvSpPr/>
      </xdr:nvSpPr>
      <xdr:spPr>
        <a:xfrm>
          <a:off x="5848350" y="914400"/>
          <a:ext cx="1739900" cy="565150"/>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Avg English Score</a:t>
          </a:r>
        </a:p>
      </xdr:txBody>
    </xdr:sp>
    <xdr:clientData/>
  </xdr:twoCellAnchor>
  <xdr:twoCellAnchor>
    <xdr:from>
      <xdr:col>12</xdr:col>
      <xdr:colOff>457200</xdr:colOff>
      <xdr:row>5</xdr:row>
      <xdr:rowOff>0</xdr:rowOff>
    </xdr:from>
    <xdr:to>
      <xdr:col>16</xdr:col>
      <xdr:colOff>6350</xdr:colOff>
      <xdr:row>8</xdr:row>
      <xdr:rowOff>12700</xdr:rowOff>
    </xdr:to>
    <xdr:sp macro="" textlink="">
      <xdr:nvSpPr>
        <xdr:cNvPr id="8" name="Rounded Rectangle 7"/>
        <xdr:cNvSpPr/>
      </xdr:nvSpPr>
      <xdr:spPr>
        <a:xfrm>
          <a:off x="7772400" y="920750"/>
          <a:ext cx="1987550" cy="565150"/>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Avg Attendance %</a:t>
          </a:r>
        </a:p>
      </xdr:txBody>
    </xdr:sp>
    <xdr:clientData/>
  </xdr:twoCellAnchor>
  <xdr:twoCellAnchor>
    <xdr:from>
      <xdr:col>0</xdr:col>
      <xdr:colOff>88900</xdr:colOff>
      <xdr:row>4</xdr:row>
      <xdr:rowOff>152400</xdr:rowOff>
    </xdr:from>
    <xdr:to>
      <xdr:col>3</xdr:col>
      <xdr:colOff>63500</xdr:colOff>
      <xdr:row>7</xdr:row>
      <xdr:rowOff>165100</xdr:rowOff>
    </xdr:to>
    <xdr:sp macro="" textlink="">
      <xdr:nvSpPr>
        <xdr:cNvPr id="9" name="Rounded Rectangle 8"/>
        <xdr:cNvSpPr/>
      </xdr:nvSpPr>
      <xdr:spPr>
        <a:xfrm>
          <a:off x="88900" y="889000"/>
          <a:ext cx="1803400" cy="565150"/>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Student</a:t>
          </a:r>
          <a:r>
            <a:rPr lang="en-IN" sz="1400" b="1" baseline="0"/>
            <a:t> Count</a:t>
          </a:r>
        </a:p>
      </xdr:txBody>
    </xdr:sp>
    <xdr:clientData/>
  </xdr:twoCellAnchor>
  <xdr:twoCellAnchor>
    <xdr:from>
      <xdr:col>1</xdr:col>
      <xdr:colOff>88900</xdr:colOff>
      <xdr:row>6</xdr:row>
      <xdr:rowOff>50800</xdr:rowOff>
    </xdr:from>
    <xdr:to>
      <xdr:col>2</xdr:col>
      <xdr:colOff>171450</xdr:colOff>
      <xdr:row>7</xdr:row>
      <xdr:rowOff>127000</xdr:rowOff>
    </xdr:to>
    <xdr:sp macro="" textlink="Pivot!B18">
      <xdr:nvSpPr>
        <xdr:cNvPr id="11" name="TextBox 10"/>
        <xdr:cNvSpPr txBox="1"/>
      </xdr:nvSpPr>
      <xdr:spPr>
        <a:xfrm>
          <a:off x="698500" y="1155700"/>
          <a:ext cx="692150" cy="2603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95FA226-0E8B-4448-AFC7-6FF65EE36032}" type="TxLink">
            <a:rPr lang="en-US" sz="1600" b="1" i="0" u="none" strike="noStrike">
              <a:solidFill>
                <a:schemeClr val="bg1"/>
              </a:solidFill>
              <a:latin typeface="Calibri"/>
              <a:cs typeface="Calibri"/>
            </a:rPr>
            <a:pPr algn="l"/>
            <a:t>250</a:t>
          </a:fld>
          <a:endParaRPr lang="en-IN" sz="1600" b="1">
            <a:solidFill>
              <a:schemeClr val="bg1"/>
            </a:solidFill>
          </a:endParaRPr>
        </a:p>
      </xdr:txBody>
    </xdr:sp>
    <xdr:clientData/>
  </xdr:twoCellAnchor>
  <xdr:twoCellAnchor>
    <xdr:from>
      <xdr:col>4</xdr:col>
      <xdr:colOff>203200</xdr:colOff>
      <xdr:row>6</xdr:row>
      <xdr:rowOff>127000</xdr:rowOff>
    </xdr:from>
    <xdr:to>
      <xdr:col>5</xdr:col>
      <xdr:colOff>311150</xdr:colOff>
      <xdr:row>7</xdr:row>
      <xdr:rowOff>171450</xdr:rowOff>
    </xdr:to>
    <xdr:sp macro="" textlink="Pivot!B19">
      <xdr:nvSpPr>
        <xdr:cNvPr id="15" name="TextBox 14"/>
        <xdr:cNvSpPr txBox="1"/>
      </xdr:nvSpPr>
      <xdr:spPr>
        <a:xfrm>
          <a:off x="2641600" y="1231900"/>
          <a:ext cx="717550" cy="22860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6822723-1F67-4CA2-820C-5C0D72543EB6}" type="TxLink">
            <a:rPr lang="en-US" sz="1600" b="1" i="0" u="none" strike="noStrike">
              <a:solidFill>
                <a:schemeClr val="bg1"/>
              </a:solidFill>
              <a:latin typeface="Calibri"/>
              <a:cs typeface="Calibri"/>
            </a:rPr>
            <a:pPr/>
            <a:t>69.83</a:t>
          </a:fld>
          <a:endParaRPr lang="en-IN" sz="1600" b="1">
            <a:solidFill>
              <a:schemeClr val="bg1"/>
            </a:solidFill>
          </a:endParaRPr>
        </a:p>
      </xdr:txBody>
    </xdr:sp>
    <xdr:clientData/>
  </xdr:twoCellAnchor>
  <xdr:twoCellAnchor>
    <xdr:from>
      <xdr:col>7</xdr:col>
      <xdr:colOff>222250</xdr:colOff>
      <xdr:row>6</xdr:row>
      <xdr:rowOff>120650</xdr:rowOff>
    </xdr:from>
    <xdr:to>
      <xdr:col>8</xdr:col>
      <xdr:colOff>285750</xdr:colOff>
      <xdr:row>8</xdr:row>
      <xdr:rowOff>12700</xdr:rowOff>
    </xdr:to>
    <xdr:sp macro="" textlink="Pivot!B20">
      <xdr:nvSpPr>
        <xdr:cNvPr id="17" name="TextBox 16"/>
        <xdr:cNvSpPr txBox="1"/>
      </xdr:nvSpPr>
      <xdr:spPr>
        <a:xfrm>
          <a:off x="4489450" y="1225550"/>
          <a:ext cx="673100" cy="2603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868DFC2-BC98-4C25-9321-479B86690DF5}" type="TxLink">
            <a:rPr lang="en-US" sz="1600" b="1" i="0" u="none" strike="noStrike">
              <a:solidFill>
                <a:schemeClr val="bg1"/>
              </a:solidFill>
              <a:latin typeface="Calibri"/>
              <a:cs typeface="Calibri"/>
            </a:rPr>
            <a:pPr/>
            <a:t>69.91</a:t>
          </a:fld>
          <a:endParaRPr lang="en-IN" sz="1600" b="1">
            <a:solidFill>
              <a:schemeClr val="bg1"/>
            </a:solidFill>
          </a:endParaRPr>
        </a:p>
      </xdr:txBody>
    </xdr:sp>
    <xdr:clientData/>
  </xdr:twoCellAnchor>
  <xdr:twoCellAnchor>
    <xdr:from>
      <xdr:col>10</xdr:col>
      <xdr:colOff>298450</xdr:colOff>
      <xdr:row>6</xdr:row>
      <xdr:rowOff>120650</xdr:rowOff>
    </xdr:from>
    <xdr:to>
      <xdr:col>11</xdr:col>
      <xdr:colOff>412750</xdr:colOff>
      <xdr:row>8</xdr:row>
      <xdr:rowOff>19050</xdr:rowOff>
    </xdr:to>
    <xdr:sp macro="" textlink="Pivot!B21">
      <xdr:nvSpPr>
        <xdr:cNvPr id="18" name="TextBox 17"/>
        <xdr:cNvSpPr txBox="1"/>
      </xdr:nvSpPr>
      <xdr:spPr>
        <a:xfrm>
          <a:off x="6394450" y="1225550"/>
          <a:ext cx="723900" cy="26670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40C7450-883F-49D7-8E23-80EF7D2B1531}" type="TxLink">
            <a:rPr lang="en-US" sz="1600" b="1" i="0" u="none" strike="noStrike">
              <a:solidFill>
                <a:schemeClr val="bg1"/>
              </a:solidFill>
              <a:latin typeface="Calibri"/>
              <a:cs typeface="Calibri"/>
            </a:rPr>
            <a:pPr/>
            <a:t>69.82</a:t>
          </a:fld>
          <a:endParaRPr lang="en-IN" sz="1600" b="1">
            <a:solidFill>
              <a:schemeClr val="bg1"/>
            </a:solidFill>
          </a:endParaRPr>
        </a:p>
      </xdr:txBody>
    </xdr:sp>
    <xdr:clientData/>
  </xdr:twoCellAnchor>
  <xdr:twoCellAnchor>
    <xdr:from>
      <xdr:col>13</xdr:col>
      <xdr:colOff>508000</xdr:colOff>
      <xdr:row>6</xdr:row>
      <xdr:rowOff>152400</xdr:rowOff>
    </xdr:from>
    <xdr:to>
      <xdr:col>15</xdr:col>
      <xdr:colOff>82550</xdr:colOff>
      <xdr:row>8</xdr:row>
      <xdr:rowOff>12700</xdr:rowOff>
    </xdr:to>
    <xdr:sp macro="" textlink="Pivot!B22">
      <xdr:nvSpPr>
        <xdr:cNvPr id="19" name="TextBox 18"/>
        <xdr:cNvSpPr txBox="1"/>
      </xdr:nvSpPr>
      <xdr:spPr>
        <a:xfrm>
          <a:off x="8432800" y="1257300"/>
          <a:ext cx="793750" cy="22860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A21BB08-AC5E-45D5-81ED-1243866F8D86}" type="TxLink">
            <a:rPr lang="en-US" sz="1600" b="1" i="0" u="none" strike="noStrike">
              <a:solidFill>
                <a:schemeClr val="bg1"/>
              </a:solidFill>
              <a:latin typeface="Calibri"/>
              <a:cs typeface="Calibri"/>
            </a:rPr>
            <a:pPr/>
            <a:t>80.16</a:t>
          </a:fld>
          <a:endParaRPr lang="en-IN" sz="1600" b="1">
            <a:solidFill>
              <a:schemeClr val="bg1"/>
            </a:solidFill>
          </a:endParaRPr>
        </a:p>
      </xdr:txBody>
    </xdr:sp>
    <xdr:clientData/>
  </xdr:twoCellAnchor>
  <xdr:twoCellAnchor editAs="oneCell">
    <xdr:from>
      <xdr:col>16</xdr:col>
      <xdr:colOff>158750</xdr:colOff>
      <xdr:row>21</xdr:row>
      <xdr:rowOff>101600</xdr:rowOff>
    </xdr:from>
    <xdr:to>
      <xdr:col>19</xdr:col>
      <xdr:colOff>336550</xdr:colOff>
      <xdr:row>29</xdr:row>
      <xdr:rowOff>76200</xdr:rowOff>
    </xdr:to>
    <mc:AlternateContent xmlns:mc="http://schemas.openxmlformats.org/markup-compatibility/2006" xmlns:a14="http://schemas.microsoft.com/office/drawing/2010/main">
      <mc:Choice Requires="a14">
        <xdr:graphicFrame macro="">
          <xdr:nvGraphicFramePr>
            <xdr:cNvPr id="20" name="extra_curricular"/>
            <xdr:cNvGraphicFramePr/>
          </xdr:nvGraphicFramePr>
          <xdr:xfrm>
            <a:off x="0" y="0"/>
            <a:ext cx="0" cy="0"/>
          </xdr:xfrm>
          <a:graphic>
            <a:graphicData uri="http://schemas.microsoft.com/office/drawing/2010/slicer">
              <sle:slicer xmlns:sle="http://schemas.microsoft.com/office/drawing/2010/slicer" name="extra_curricular"/>
            </a:graphicData>
          </a:graphic>
        </xdr:graphicFrame>
      </mc:Choice>
      <mc:Fallback xmlns="">
        <xdr:sp macro="" textlink="">
          <xdr:nvSpPr>
            <xdr:cNvPr id="0" name=""/>
            <xdr:cNvSpPr>
              <a:spLocks noTextEdit="1"/>
            </xdr:cNvSpPr>
          </xdr:nvSpPr>
          <xdr:spPr>
            <a:xfrm>
              <a:off x="9912350" y="3968750"/>
              <a:ext cx="20066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133350</xdr:colOff>
      <xdr:row>0</xdr:row>
      <xdr:rowOff>82551</xdr:rowOff>
    </xdr:from>
    <xdr:to>
      <xdr:col>19</xdr:col>
      <xdr:colOff>336550</xdr:colOff>
      <xdr:row>5</xdr:row>
      <xdr:rowOff>101600</xdr:rowOff>
    </xdr:to>
    <mc:AlternateContent xmlns:mc="http://schemas.openxmlformats.org/markup-compatibility/2006" xmlns:a14="http://schemas.microsoft.com/office/drawing/2010/main">
      <mc:Choice Requires="a14">
        <xdr:graphicFrame macro="">
          <xdr:nvGraphicFramePr>
            <xdr:cNvPr id="21"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886950" y="82551"/>
              <a:ext cx="2032000" cy="939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139700</xdr:colOff>
      <xdr:row>13</xdr:row>
      <xdr:rowOff>6351</xdr:rowOff>
    </xdr:from>
    <xdr:to>
      <xdr:col>19</xdr:col>
      <xdr:colOff>317500</xdr:colOff>
      <xdr:row>21</xdr:row>
      <xdr:rowOff>44450</xdr:rowOff>
    </xdr:to>
    <mc:AlternateContent xmlns:mc="http://schemas.openxmlformats.org/markup-compatibility/2006" xmlns:a14="http://schemas.microsoft.com/office/drawing/2010/main">
      <mc:Choice Requires="a14">
        <xdr:graphicFrame macro="">
          <xdr:nvGraphicFramePr>
            <xdr:cNvPr id="22" name="grade_level"/>
            <xdr:cNvGraphicFramePr/>
          </xdr:nvGraphicFramePr>
          <xdr:xfrm>
            <a:off x="0" y="0"/>
            <a:ext cx="0" cy="0"/>
          </xdr:xfrm>
          <a:graphic>
            <a:graphicData uri="http://schemas.microsoft.com/office/drawing/2010/slicer">
              <sle:slicer xmlns:sle="http://schemas.microsoft.com/office/drawing/2010/slicer" name="grade_level"/>
            </a:graphicData>
          </a:graphic>
        </xdr:graphicFrame>
      </mc:Choice>
      <mc:Fallback xmlns="">
        <xdr:sp macro="" textlink="">
          <xdr:nvSpPr>
            <xdr:cNvPr id="0" name=""/>
            <xdr:cNvSpPr>
              <a:spLocks noTextEdit="1"/>
            </xdr:cNvSpPr>
          </xdr:nvSpPr>
          <xdr:spPr>
            <a:xfrm>
              <a:off x="9893300" y="2400301"/>
              <a:ext cx="2006600" cy="1511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133350</xdr:colOff>
      <xdr:row>6</xdr:row>
      <xdr:rowOff>6351</xdr:rowOff>
    </xdr:from>
    <xdr:to>
      <xdr:col>19</xdr:col>
      <xdr:colOff>323850</xdr:colOff>
      <xdr:row>12</xdr:row>
      <xdr:rowOff>107950</xdr:rowOff>
    </xdr:to>
    <mc:AlternateContent xmlns:mc="http://schemas.openxmlformats.org/markup-compatibility/2006" xmlns:a14="http://schemas.microsoft.com/office/drawing/2010/main">
      <mc:Choice Requires="a14">
        <xdr:graphicFrame macro="">
          <xdr:nvGraphicFramePr>
            <xdr:cNvPr id="23" name="study_group"/>
            <xdr:cNvGraphicFramePr/>
          </xdr:nvGraphicFramePr>
          <xdr:xfrm>
            <a:off x="0" y="0"/>
            <a:ext cx="0" cy="0"/>
          </xdr:xfrm>
          <a:graphic>
            <a:graphicData uri="http://schemas.microsoft.com/office/drawing/2010/slicer">
              <sle:slicer xmlns:sle="http://schemas.microsoft.com/office/drawing/2010/slicer" name="study_group"/>
            </a:graphicData>
          </a:graphic>
        </xdr:graphicFrame>
      </mc:Choice>
      <mc:Fallback xmlns="">
        <xdr:sp macro="" textlink="">
          <xdr:nvSpPr>
            <xdr:cNvPr id="0" name=""/>
            <xdr:cNvSpPr>
              <a:spLocks noTextEdit="1"/>
            </xdr:cNvSpPr>
          </xdr:nvSpPr>
          <xdr:spPr>
            <a:xfrm>
              <a:off x="9886950" y="1111251"/>
              <a:ext cx="2019300" cy="1206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101601</xdr:colOff>
      <xdr:row>8</xdr:row>
      <xdr:rowOff>63500</xdr:rowOff>
    </xdr:from>
    <xdr:to>
      <xdr:col>5</xdr:col>
      <xdr:colOff>69850</xdr:colOff>
      <xdr:row>18</xdr:row>
      <xdr:rowOff>38100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158750</xdr:colOff>
      <xdr:row>8</xdr:row>
      <xdr:rowOff>76200</xdr:rowOff>
    </xdr:from>
    <xdr:to>
      <xdr:col>10</xdr:col>
      <xdr:colOff>546100</xdr:colOff>
      <xdr:row>18</xdr:row>
      <xdr:rowOff>38100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31750</xdr:colOff>
      <xdr:row>8</xdr:row>
      <xdr:rowOff>69850</xdr:rowOff>
    </xdr:from>
    <xdr:to>
      <xdr:col>16</xdr:col>
      <xdr:colOff>19050</xdr:colOff>
      <xdr:row>18</xdr:row>
      <xdr:rowOff>28350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133351</xdr:colOff>
      <xdr:row>18</xdr:row>
      <xdr:rowOff>120650</xdr:rowOff>
    </xdr:from>
    <xdr:to>
      <xdr:col>5</xdr:col>
      <xdr:colOff>95250</xdr:colOff>
      <xdr:row>29</xdr:row>
      <xdr:rowOff>101600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184150</xdr:colOff>
      <xdr:row>18</xdr:row>
      <xdr:rowOff>127000</xdr:rowOff>
    </xdr:from>
    <xdr:to>
      <xdr:col>10</xdr:col>
      <xdr:colOff>584200</xdr:colOff>
      <xdr:row>29</xdr:row>
      <xdr:rowOff>88900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69850</xdr:colOff>
      <xdr:row>18</xdr:row>
      <xdr:rowOff>120650</xdr:rowOff>
    </xdr:from>
    <xdr:to>
      <xdr:col>16</xdr:col>
      <xdr:colOff>41275</xdr:colOff>
      <xdr:row>29</xdr:row>
      <xdr:rowOff>82550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DELL" refreshedDate="46275.468922916669" backgroundQuery="1" createdVersion="6" refreshedVersion="6" minRefreshableVersion="3" recordCount="0" supportSubquery="1" supportAdvancedDrill="1">
  <cacheSource type="external" connectionId="1"/>
  <cacheFields count="3">
    <cacheField name="[Table1].[gender].[gender]" caption="gender" numFmtId="0" hierarchy="5" level="1">
      <sharedItems count="2">
        <s v="Female"/>
        <s v="Male"/>
      </sharedItems>
    </cacheField>
    <cacheField name="[Measures].[Average of attendance_percent]" caption="Average of attendance_percent" numFmtId="0" hierarchy="19" level="32767"/>
    <cacheField name="[Table1].[grade_level].[grade_level]" caption="grade_level" numFmtId="0" hierarchy="6" level="1">
      <sharedItems containsSemiMixedTypes="0" containsNonDate="0" containsString="0"/>
    </cacheField>
  </cacheFields>
  <cacheHierarchies count="21">
    <cacheHierarchy uniqueName="[Table1].[student_id]" caption="student_id" attribute="1" defaultMemberUniqueName="[Table1].[student_id].[All]" allUniqueName="[Table1].[student_id].[All]" dimensionUniqueName="[Table1]" displayFolder="" count="0" memberValueDatatype="130" unbalanced="0"/>
    <cacheHierarchy uniqueName="[Table1].[math_score]" caption="math_score" attribute="1" defaultMemberUniqueName="[Table1].[math_score].[All]" allUniqueName="[Table1].[math_score].[All]" dimensionUniqueName="[Table1]" displayFolder="" count="0" memberValueDatatype="20" unbalanced="0"/>
    <cacheHierarchy uniqueName="[Table1].[science_score]" caption="science_score" attribute="1" defaultMemberUniqueName="[Table1].[science_score].[All]" allUniqueName="[Table1].[science_score].[All]" dimensionUniqueName="[Table1]" displayFolder="" count="0" memberValueDatatype="20" unbalanced="0"/>
    <cacheHierarchy uniqueName="[Table1].[english_score]" caption="english_score" attribute="1" defaultMemberUniqueName="[Table1].[english_score].[All]" allUniqueName="[Table1].[english_score].[All]" dimensionUniqueName="[Table1]" displayFolder="" count="0" memberValueDatatype="20" unbalanced="0"/>
    <cacheHierarchy uniqueName="[Table1].[attendance_percent]" caption="attendance_percent" attribute="1" defaultMemberUniqueName="[Table1].[attendance_percent].[All]" allUniqueName="[Table1].[attendance_percent].[All]" dimensionUniqueName="[Table1]" displayFolder="" count="0" memberValueDatatype="5"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grade_level]" caption="grade_level" attribute="1" defaultMemberUniqueName="[Table1].[grade_level].[All]" allUniqueName="[Table1].[grade_level].[All]" dimensionUniqueName="[Table1]" displayFolder="" count="2" memberValueDatatype="130" unbalanced="0">
      <fieldsUsage count="2">
        <fieldUsage x="-1"/>
        <fieldUsage x="2"/>
      </fieldsUsage>
    </cacheHierarchy>
    <cacheHierarchy uniqueName="[Table1].[study_group]" caption="study_group" attribute="1" defaultMemberUniqueName="[Table1].[study_group].[All]" allUniqueName="[Table1].[study_group].[All]" dimensionUniqueName="[Table1]" displayFolder="" count="2" memberValueDatatype="130" unbalanced="0"/>
    <cacheHierarchy uniqueName="[Table1].[extra_curricular]" caption="extra_curricular" attribute="1" defaultMemberUniqueName="[Table1].[extra_curricular].[All]" allUniqueName="[Table1].[extra_curricular].[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Table1" count="0" hidden="1">
      <extLst>
        <ext xmlns:x15="http://schemas.microsoft.com/office/spreadsheetml/2010/11/main" uri="{B97F6D7D-B522-45F9-BDA1-12C45D357490}">
          <x15:cacheHierarchy aggregatedColumn="0"/>
        </ext>
      </extLst>
    </cacheHierarchy>
    <cacheHierarchy uniqueName="[Measures].[Sum of science_score]" caption="Sum of science_score" measure="1" displayFolder="" measureGroup="Table1" count="0" hidden="1">
      <extLst>
        <ext xmlns:x15="http://schemas.microsoft.com/office/spreadsheetml/2010/11/main" uri="{B97F6D7D-B522-45F9-BDA1-12C45D357490}">
          <x15:cacheHierarchy aggregatedColumn="2"/>
        </ext>
      </extLst>
    </cacheHierarchy>
    <cacheHierarchy uniqueName="[Measures].[Average of science_score]" caption="Average of science_score" measure="1" displayFolder="" measureGroup="Table1" count="0" hidden="1">
      <extLst>
        <ext xmlns:x15="http://schemas.microsoft.com/office/spreadsheetml/2010/11/main" uri="{B97F6D7D-B522-45F9-BDA1-12C45D357490}">
          <x15:cacheHierarchy aggregatedColumn="2"/>
        </ext>
      </extLst>
    </cacheHierarchy>
    <cacheHierarchy uniqueName="[Measures].[Sum of math_score]" caption="Sum of math_score" measure="1" displayFolder="" measureGroup="Table1" count="0" hidden="1">
      <extLst>
        <ext xmlns:x15="http://schemas.microsoft.com/office/spreadsheetml/2010/11/main" uri="{B97F6D7D-B522-45F9-BDA1-12C45D357490}">
          <x15:cacheHierarchy aggregatedColumn="1"/>
        </ext>
      </extLst>
    </cacheHierarchy>
    <cacheHierarchy uniqueName="[Measures].[Average of math_score]" caption="Average of math_score" measure="1" displayFolder="" measureGroup="Table1" count="0" hidden="1">
      <extLst>
        <ext xmlns:x15="http://schemas.microsoft.com/office/spreadsheetml/2010/11/main" uri="{B97F6D7D-B522-45F9-BDA1-12C45D357490}">
          <x15:cacheHierarchy aggregatedColumn="1"/>
        </ext>
      </extLst>
    </cacheHierarchy>
    <cacheHierarchy uniqueName="[Measures].[Sum of english_score]" caption="Sum of english_score" measure="1" displayFolder="" measureGroup="Table1" count="0" hidden="1">
      <extLst>
        <ext xmlns:x15="http://schemas.microsoft.com/office/spreadsheetml/2010/11/main" uri="{B97F6D7D-B522-45F9-BDA1-12C45D357490}">
          <x15:cacheHierarchy aggregatedColumn="3"/>
        </ext>
      </extLst>
    </cacheHierarchy>
    <cacheHierarchy uniqueName="[Measures].[Average of english_score]" caption="Average of english_score" measure="1" displayFolder="" measureGroup="Table1" count="0" hidden="1">
      <extLst>
        <ext xmlns:x15="http://schemas.microsoft.com/office/spreadsheetml/2010/11/main" uri="{B97F6D7D-B522-45F9-BDA1-12C45D357490}">
          <x15:cacheHierarchy aggregatedColumn="3"/>
        </ext>
      </extLst>
    </cacheHierarchy>
    <cacheHierarchy uniqueName="[Measures].[Sum of attendance_percent]" caption="Sum of attendance_percent" measure="1" displayFolder="" measureGroup="Table1" count="0" hidden="1">
      <extLst>
        <ext xmlns:x15="http://schemas.microsoft.com/office/spreadsheetml/2010/11/main" uri="{B97F6D7D-B522-45F9-BDA1-12C45D357490}">
          <x15:cacheHierarchy aggregatedColumn="4"/>
        </ext>
      </extLst>
    </cacheHierarchy>
    <cacheHierarchy uniqueName="[Measures].[Average of attendance_percent]" caption="Average of attendance_percent"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DELL" refreshedDate="46275.468923379631" backgroundQuery="1" createdVersion="6" refreshedVersion="6" minRefreshableVersion="3" recordCount="0" supportSubquery="1" supportAdvancedDrill="1">
  <cacheSource type="external" connectionId="1"/>
  <cacheFields count="2">
    <cacheField name="[Measures].[Count of student_id]" caption="Count of student_id" numFmtId="0" hierarchy="11" level="32767"/>
    <cacheField name="[Table1].[grade_level].[grade_level]" caption="grade_level" numFmtId="0" hierarchy="6" level="1">
      <sharedItems containsSemiMixedTypes="0" containsNonDate="0" containsString="0"/>
    </cacheField>
  </cacheFields>
  <cacheHierarchies count="21">
    <cacheHierarchy uniqueName="[Table1].[student_id]" caption="student_id" attribute="1" defaultMemberUniqueName="[Table1].[student_id].[All]" allUniqueName="[Table1].[student_id].[All]" dimensionUniqueName="[Table1]" displayFolder="" count="0" memberValueDatatype="130" unbalanced="0"/>
    <cacheHierarchy uniqueName="[Table1].[math_score]" caption="math_score" attribute="1" defaultMemberUniqueName="[Table1].[math_score].[All]" allUniqueName="[Table1].[math_score].[All]" dimensionUniqueName="[Table1]" displayFolder="" count="0" memberValueDatatype="20" unbalanced="0"/>
    <cacheHierarchy uniqueName="[Table1].[science_score]" caption="science_score" attribute="1" defaultMemberUniqueName="[Table1].[science_score].[All]" allUniqueName="[Table1].[science_score].[All]" dimensionUniqueName="[Table1]" displayFolder="" count="0" memberValueDatatype="20" unbalanced="0"/>
    <cacheHierarchy uniqueName="[Table1].[english_score]" caption="english_score" attribute="1" defaultMemberUniqueName="[Table1].[english_score].[All]" allUniqueName="[Table1].[english_score].[All]" dimensionUniqueName="[Table1]" displayFolder="" count="0" memberValueDatatype="20" unbalanced="0"/>
    <cacheHierarchy uniqueName="[Table1].[attendance_percent]" caption="attendance_percent" attribute="1" defaultMemberUniqueName="[Table1].[attendance_percent].[All]" allUniqueName="[Table1].[attendance_percent].[All]" dimensionUniqueName="[Table1]" displayFolder="" count="0" memberValueDatatype="5" unbalanced="0"/>
    <cacheHierarchy uniqueName="[Table1].[gender]" caption="gender" attribute="1" defaultMemberUniqueName="[Table1].[gender].[All]" allUniqueName="[Table1].[gender].[All]" dimensionUniqueName="[Table1]" displayFolder="" count="2" memberValueDatatype="130" unbalanced="0"/>
    <cacheHierarchy uniqueName="[Table1].[grade_level]" caption="grade_level" attribute="1" defaultMemberUniqueName="[Table1].[grade_level].[All]" allUniqueName="[Table1].[grade_level].[All]" dimensionUniqueName="[Table1]" displayFolder="" count="2" memberValueDatatype="130" unbalanced="0">
      <fieldsUsage count="2">
        <fieldUsage x="-1"/>
        <fieldUsage x="1"/>
      </fieldsUsage>
    </cacheHierarchy>
    <cacheHierarchy uniqueName="[Table1].[study_group]" caption="study_group" attribute="1" defaultMemberUniqueName="[Table1].[study_group].[All]" allUniqueName="[Table1].[study_group].[All]" dimensionUniqueName="[Table1]" displayFolder="" count="2" memberValueDatatype="130" unbalanced="0"/>
    <cacheHierarchy uniqueName="[Table1].[extra_curricular]" caption="extra_curricular" attribute="1" defaultMemberUniqueName="[Table1].[extra_curricular].[All]" allUniqueName="[Table1].[extra_curricular].[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cience_score]" caption="Sum of science_score" measure="1" displayFolder="" measureGroup="Table1" count="0" hidden="1">
      <extLst>
        <ext xmlns:x15="http://schemas.microsoft.com/office/spreadsheetml/2010/11/main" uri="{B97F6D7D-B522-45F9-BDA1-12C45D357490}">
          <x15:cacheHierarchy aggregatedColumn="2"/>
        </ext>
      </extLst>
    </cacheHierarchy>
    <cacheHierarchy uniqueName="[Measures].[Average of science_score]" caption="Average of science_score" measure="1" displayFolder="" measureGroup="Table1" count="0" hidden="1">
      <extLst>
        <ext xmlns:x15="http://schemas.microsoft.com/office/spreadsheetml/2010/11/main" uri="{B97F6D7D-B522-45F9-BDA1-12C45D357490}">
          <x15:cacheHierarchy aggregatedColumn="2"/>
        </ext>
      </extLst>
    </cacheHierarchy>
    <cacheHierarchy uniqueName="[Measures].[Sum of math_score]" caption="Sum of math_score" measure="1" displayFolder="" measureGroup="Table1" count="0" hidden="1">
      <extLst>
        <ext xmlns:x15="http://schemas.microsoft.com/office/spreadsheetml/2010/11/main" uri="{B97F6D7D-B522-45F9-BDA1-12C45D357490}">
          <x15:cacheHierarchy aggregatedColumn="1"/>
        </ext>
      </extLst>
    </cacheHierarchy>
    <cacheHierarchy uniqueName="[Measures].[Average of math_score]" caption="Average of math_score" measure="1" displayFolder="" measureGroup="Table1" count="0" hidden="1">
      <extLst>
        <ext xmlns:x15="http://schemas.microsoft.com/office/spreadsheetml/2010/11/main" uri="{B97F6D7D-B522-45F9-BDA1-12C45D357490}">
          <x15:cacheHierarchy aggregatedColumn="1"/>
        </ext>
      </extLst>
    </cacheHierarchy>
    <cacheHierarchy uniqueName="[Measures].[Sum of english_score]" caption="Sum of english_score" measure="1" displayFolder="" measureGroup="Table1" count="0" hidden="1">
      <extLst>
        <ext xmlns:x15="http://schemas.microsoft.com/office/spreadsheetml/2010/11/main" uri="{B97F6D7D-B522-45F9-BDA1-12C45D357490}">
          <x15:cacheHierarchy aggregatedColumn="3"/>
        </ext>
      </extLst>
    </cacheHierarchy>
    <cacheHierarchy uniqueName="[Measures].[Average of english_score]" caption="Average of english_score" measure="1" displayFolder="" measureGroup="Table1" count="0" hidden="1">
      <extLst>
        <ext xmlns:x15="http://schemas.microsoft.com/office/spreadsheetml/2010/11/main" uri="{B97F6D7D-B522-45F9-BDA1-12C45D357490}">
          <x15:cacheHierarchy aggregatedColumn="3"/>
        </ext>
      </extLst>
    </cacheHierarchy>
    <cacheHierarchy uniqueName="[Measures].[Sum of attendance_percent]" caption="Sum of attendance_percent" measure="1" displayFolder="" measureGroup="Table1" count="0" hidden="1">
      <extLst>
        <ext xmlns:x15="http://schemas.microsoft.com/office/spreadsheetml/2010/11/main" uri="{B97F6D7D-B522-45F9-BDA1-12C45D357490}">
          <x15:cacheHierarchy aggregatedColumn="4"/>
        </ext>
      </extLst>
    </cacheHierarchy>
    <cacheHierarchy uniqueName="[Measures].[Average of attendance_percent]" caption="Average of attendance_percent" measure="1" displayFolder="" measureGroup="Table1"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DELL" refreshedDate="46275.468923726854" backgroundQuery="1" createdVersion="6" refreshedVersion="6" minRefreshableVersion="3" recordCount="0" supportSubquery="1" supportAdvancedDrill="1">
  <cacheSource type="external" connectionId="1"/>
  <cacheFields count="2">
    <cacheField name="[Measures].[Average of science_score]" caption="Average of science_score" numFmtId="0" hierarchy="13" level="32767"/>
    <cacheField name="[Table1].[grade_level].[grade_level]" caption="grade_level" numFmtId="0" hierarchy="6" level="1">
      <sharedItems containsSemiMixedTypes="0" containsNonDate="0" containsString="0"/>
    </cacheField>
  </cacheFields>
  <cacheHierarchies count="21">
    <cacheHierarchy uniqueName="[Table1].[student_id]" caption="student_id" attribute="1" defaultMemberUniqueName="[Table1].[student_id].[All]" allUniqueName="[Table1].[student_id].[All]" dimensionUniqueName="[Table1]" displayFolder="" count="0" memberValueDatatype="130" unbalanced="0"/>
    <cacheHierarchy uniqueName="[Table1].[math_score]" caption="math_score" attribute="1" defaultMemberUniqueName="[Table1].[math_score].[All]" allUniqueName="[Table1].[math_score].[All]" dimensionUniqueName="[Table1]" displayFolder="" count="0" memberValueDatatype="20" unbalanced="0"/>
    <cacheHierarchy uniqueName="[Table1].[science_score]" caption="science_score" attribute="1" defaultMemberUniqueName="[Table1].[science_score].[All]" allUniqueName="[Table1].[science_score].[All]" dimensionUniqueName="[Table1]" displayFolder="" count="0" memberValueDatatype="20" unbalanced="0"/>
    <cacheHierarchy uniqueName="[Table1].[english_score]" caption="english_score" attribute="1" defaultMemberUniqueName="[Table1].[english_score].[All]" allUniqueName="[Table1].[english_score].[All]" dimensionUniqueName="[Table1]" displayFolder="" count="0" memberValueDatatype="20" unbalanced="0"/>
    <cacheHierarchy uniqueName="[Table1].[attendance_percent]" caption="attendance_percent" attribute="1" defaultMemberUniqueName="[Table1].[attendance_percent].[All]" allUniqueName="[Table1].[attendance_percent].[All]" dimensionUniqueName="[Table1]" displayFolder="" count="0" memberValueDatatype="5" unbalanced="0"/>
    <cacheHierarchy uniqueName="[Table1].[gender]" caption="gender" attribute="1" defaultMemberUniqueName="[Table1].[gender].[All]" allUniqueName="[Table1].[gender].[All]" dimensionUniqueName="[Table1]" displayFolder="" count="2" memberValueDatatype="130" unbalanced="0"/>
    <cacheHierarchy uniqueName="[Table1].[grade_level]" caption="grade_level" attribute="1" defaultMemberUniqueName="[Table1].[grade_level].[All]" allUniqueName="[Table1].[grade_level].[All]" dimensionUniqueName="[Table1]" displayFolder="" count="2" memberValueDatatype="130" unbalanced="0">
      <fieldsUsage count="2">
        <fieldUsage x="-1"/>
        <fieldUsage x="1"/>
      </fieldsUsage>
    </cacheHierarchy>
    <cacheHierarchy uniqueName="[Table1].[study_group]" caption="study_group" attribute="1" defaultMemberUniqueName="[Table1].[study_group].[All]" allUniqueName="[Table1].[study_group].[All]" dimensionUniqueName="[Table1]" displayFolder="" count="2" memberValueDatatype="130" unbalanced="0"/>
    <cacheHierarchy uniqueName="[Table1].[extra_curricular]" caption="extra_curricular" attribute="1" defaultMemberUniqueName="[Table1].[extra_curricular].[All]" allUniqueName="[Table1].[extra_curricular].[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Table1" count="0" hidden="1">
      <extLst>
        <ext xmlns:x15="http://schemas.microsoft.com/office/spreadsheetml/2010/11/main" uri="{B97F6D7D-B522-45F9-BDA1-12C45D357490}">
          <x15:cacheHierarchy aggregatedColumn="0"/>
        </ext>
      </extLst>
    </cacheHierarchy>
    <cacheHierarchy uniqueName="[Measures].[Sum of science_score]" caption="Sum of science_score" measure="1" displayFolder="" measureGroup="Table1" count="0" hidden="1">
      <extLst>
        <ext xmlns:x15="http://schemas.microsoft.com/office/spreadsheetml/2010/11/main" uri="{B97F6D7D-B522-45F9-BDA1-12C45D357490}">
          <x15:cacheHierarchy aggregatedColumn="2"/>
        </ext>
      </extLst>
    </cacheHierarchy>
    <cacheHierarchy uniqueName="[Measures].[Average of science_score]" caption="Average of science_score"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math_score]" caption="Sum of math_score" measure="1" displayFolder="" measureGroup="Table1" count="0" hidden="1">
      <extLst>
        <ext xmlns:x15="http://schemas.microsoft.com/office/spreadsheetml/2010/11/main" uri="{B97F6D7D-B522-45F9-BDA1-12C45D357490}">
          <x15:cacheHierarchy aggregatedColumn="1"/>
        </ext>
      </extLst>
    </cacheHierarchy>
    <cacheHierarchy uniqueName="[Measures].[Average of math_score]" caption="Average of math_score" measure="1" displayFolder="" measureGroup="Table1" count="0" hidden="1">
      <extLst>
        <ext xmlns:x15="http://schemas.microsoft.com/office/spreadsheetml/2010/11/main" uri="{B97F6D7D-B522-45F9-BDA1-12C45D357490}">
          <x15:cacheHierarchy aggregatedColumn="1"/>
        </ext>
      </extLst>
    </cacheHierarchy>
    <cacheHierarchy uniqueName="[Measures].[Sum of english_score]" caption="Sum of english_score" measure="1" displayFolder="" measureGroup="Table1" count="0" hidden="1">
      <extLst>
        <ext xmlns:x15="http://schemas.microsoft.com/office/spreadsheetml/2010/11/main" uri="{B97F6D7D-B522-45F9-BDA1-12C45D357490}">
          <x15:cacheHierarchy aggregatedColumn="3"/>
        </ext>
      </extLst>
    </cacheHierarchy>
    <cacheHierarchy uniqueName="[Measures].[Average of english_score]" caption="Average of english_score" measure="1" displayFolder="" measureGroup="Table1" count="0" hidden="1">
      <extLst>
        <ext xmlns:x15="http://schemas.microsoft.com/office/spreadsheetml/2010/11/main" uri="{B97F6D7D-B522-45F9-BDA1-12C45D357490}">
          <x15:cacheHierarchy aggregatedColumn="3"/>
        </ext>
      </extLst>
    </cacheHierarchy>
    <cacheHierarchy uniqueName="[Measures].[Sum of attendance_percent]" caption="Sum of attendance_percent" measure="1" displayFolder="" measureGroup="Table1" count="0" hidden="1">
      <extLst>
        <ext xmlns:x15="http://schemas.microsoft.com/office/spreadsheetml/2010/11/main" uri="{B97F6D7D-B522-45F9-BDA1-12C45D357490}">
          <x15:cacheHierarchy aggregatedColumn="4"/>
        </ext>
      </extLst>
    </cacheHierarchy>
    <cacheHierarchy uniqueName="[Measures].[Average of attendance_percent]" caption="Average of attendance_percent" measure="1" displayFolder="" measureGroup="Table1"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DELL" refreshedDate="46275.468924421293" backgroundQuery="1" createdVersion="6" refreshedVersion="6" minRefreshableVersion="3" recordCount="0" supportSubquery="1" supportAdvancedDrill="1">
  <cacheSource type="external" connectionId="1"/>
  <cacheFields count="2">
    <cacheField name="[Measures].[Average of math_score]" caption="Average of math_score" numFmtId="0" hierarchy="15" level="32767"/>
    <cacheField name="[Table1].[grade_level].[grade_level]" caption="grade_level" numFmtId="0" hierarchy="6" level="1">
      <sharedItems containsSemiMixedTypes="0" containsNonDate="0" containsString="0"/>
    </cacheField>
  </cacheFields>
  <cacheHierarchies count="21">
    <cacheHierarchy uniqueName="[Table1].[student_id]" caption="student_id" attribute="1" defaultMemberUniqueName="[Table1].[student_id].[All]" allUniqueName="[Table1].[student_id].[All]" dimensionUniqueName="[Table1]" displayFolder="" count="0" memberValueDatatype="130" unbalanced="0"/>
    <cacheHierarchy uniqueName="[Table1].[math_score]" caption="math_score" attribute="1" defaultMemberUniqueName="[Table1].[math_score].[All]" allUniqueName="[Table1].[math_score].[All]" dimensionUniqueName="[Table1]" displayFolder="" count="0" memberValueDatatype="20" unbalanced="0"/>
    <cacheHierarchy uniqueName="[Table1].[science_score]" caption="science_score" attribute="1" defaultMemberUniqueName="[Table1].[science_score].[All]" allUniqueName="[Table1].[science_score].[All]" dimensionUniqueName="[Table1]" displayFolder="" count="0" memberValueDatatype="20" unbalanced="0"/>
    <cacheHierarchy uniqueName="[Table1].[english_score]" caption="english_score" attribute="1" defaultMemberUniqueName="[Table1].[english_score].[All]" allUniqueName="[Table1].[english_score].[All]" dimensionUniqueName="[Table1]" displayFolder="" count="0" memberValueDatatype="20" unbalanced="0"/>
    <cacheHierarchy uniqueName="[Table1].[attendance_percent]" caption="attendance_percent" attribute="1" defaultMemberUniqueName="[Table1].[attendance_percent].[All]" allUniqueName="[Table1].[attendance_percent].[All]" dimensionUniqueName="[Table1]" displayFolder="" count="0" memberValueDatatype="5" unbalanced="0"/>
    <cacheHierarchy uniqueName="[Table1].[gender]" caption="gender" attribute="1" defaultMemberUniqueName="[Table1].[gender].[All]" allUniqueName="[Table1].[gender].[All]" dimensionUniqueName="[Table1]" displayFolder="" count="2" memberValueDatatype="130" unbalanced="0"/>
    <cacheHierarchy uniqueName="[Table1].[grade_level]" caption="grade_level" attribute="1" defaultMemberUniqueName="[Table1].[grade_level].[All]" allUniqueName="[Table1].[grade_level].[All]" dimensionUniqueName="[Table1]" displayFolder="" count="2" memberValueDatatype="130" unbalanced="0">
      <fieldsUsage count="2">
        <fieldUsage x="-1"/>
        <fieldUsage x="1"/>
      </fieldsUsage>
    </cacheHierarchy>
    <cacheHierarchy uniqueName="[Table1].[study_group]" caption="study_group" attribute="1" defaultMemberUniqueName="[Table1].[study_group].[All]" allUniqueName="[Table1].[study_group].[All]" dimensionUniqueName="[Table1]" displayFolder="" count="2" memberValueDatatype="130" unbalanced="0"/>
    <cacheHierarchy uniqueName="[Table1].[extra_curricular]" caption="extra_curricular" attribute="1" defaultMemberUniqueName="[Table1].[extra_curricular].[All]" allUniqueName="[Table1].[extra_curricular].[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Table1" count="0" hidden="1">
      <extLst>
        <ext xmlns:x15="http://schemas.microsoft.com/office/spreadsheetml/2010/11/main" uri="{B97F6D7D-B522-45F9-BDA1-12C45D357490}">
          <x15:cacheHierarchy aggregatedColumn="0"/>
        </ext>
      </extLst>
    </cacheHierarchy>
    <cacheHierarchy uniqueName="[Measures].[Sum of science_score]" caption="Sum of science_score" measure="1" displayFolder="" measureGroup="Table1" count="0" hidden="1">
      <extLst>
        <ext xmlns:x15="http://schemas.microsoft.com/office/spreadsheetml/2010/11/main" uri="{B97F6D7D-B522-45F9-BDA1-12C45D357490}">
          <x15:cacheHierarchy aggregatedColumn="2"/>
        </ext>
      </extLst>
    </cacheHierarchy>
    <cacheHierarchy uniqueName="[Measures].[Average of science_score]" caption="Average of science_score" measure="1" displayFolder="" measureGroup="Table1" count="0" hidden="1">
      <extLst>
        <ext xmlns:x15="http://schemas.microsoft.com/office/spreadsheetml/2010/11/main" uri="{B97F6D7D-B522-45F9-BDA1-12C45D357490}">
          <x15:cacheHierarchy aggregatedColumn="2"/>
        </ext>
      </extLst>
    </cacheHierarchy>
    <cacheHierarchy uniqueName="[Measures].[Sum of math_score]" caption="Sum of math_score" measure="1" displayFolder="" measureGroup="Table1" count="0" hidden="1">
      <extLst>
        <ext xmlns:x15="http://schemas.microsoft.com/office/spreadsheetml/2010/11/main" uri="{B97F6D7D-B522-45F9-BDA1-12C45D357490}">
          <x15:cacheHierarchy aggregatedColumn="1"/>
        </ext>
      </extLst>
    </cacheHierarchy>
    <cacheHierarchy uniqueName="[Measures].[Average of math_score]" caption="Average of math_score"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english_score]" caption="Sum of english_score" measure="1" displayFolder="" measureGroup="Table1" count="0" hidden="1">
      <extLst>
        <ext xmlns:x15="http://schemas.microsoft.com/office/spreadsheetml/2010/11/main" uri="{B97F6D7D-B522-45F9-BDA1-12C45D357490}">
          <x15:cacheHierarchy aggregatedColumn="3"/>
        </ext>
      </extLst>
    </cacheHierarchy>
    <cacheHierarchy uniqueName="[Measures].[Average of english_score]" caption="Average of english_score" measure="1" displayFolder="" measureGroup="Table1" count="0" hidden="1">
      <extLst>
        <ext xmlns:x15="http://schemas.microsoft.com/office/spreadsheetml/2010/11/main" uri="{B97F6D7D-B522-45F9-BDA1-12C45D357490}">
          <x15:cacheHierarchy aggregatedColumn="3"/>
        </ext>
      </extLst>
    </cacheHierarchy>
    <cacheHierarchy uniqueName="[Measures].[Sum of attendance_percent]" caption="Sum of attendance_percent" measure="1" displayFolder="" measureGroup="Table1" count="0" hidden="1">
      <extLst>
        <ext xmlns:x15="http://schemas.microsoft.com/office/spreadsheetml/2010/11/main" uri="{B97F6D7D-B522-45F9-BDA1-12C45D357490}">
          <x15:cacheHierarchy aggregatedColumn="4"/>
        </ext>
      </extLst>
    </cacheHierarchy>
    <cacheHierarchy uniqueName="[Measures].[Average of attendance_percent]" caption="Average of attendance_percent" measure="1" displayFolder="" measureGroup="Table1"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DELL" refreshedDate="46275.468925231478" backgroundQuery="1" createdVersion="6" refreshedVersion="6" minRefreshableVersion="3" recordCount="0" supportSubquery="1" supportAdvancedDrill="1">
  <cacheSource type="external" connectionId="1"/>
  <cacheFields count="2">
    <cacheField name="[Measures].[Average of english_score]" caption="Average of english_score" numFmtId="0" hierarchy="17" level="32767"/>
    <cacheField name="[Table1].[grade_level].[grade_level]" caption="grade_level" numFmtId="0" hierarchy="6" level="1">
      <sharedItems containsSemiMixedTypes="0" containsNonDate="0" containsString="0"/>
    </cacheField>
  </cacheFields>
  <cacheHierarchies count="21">
    <cacheHierarchy uniqueName="[Table1].[student_id]" caption="student_id" attribute="1" defaultMemberUniqueName="[Table1].[student_id].[All]" allUniqueName="[Table1].[student_id].[All]" dimensionUniqueName="[Table1]" displayFolder="" count="0" memberValueDatatype="130" unbalanced="0"/>
    <cacheHierarchy uniqueName="[Table1].[math_score]" caption="math_score" attribute="1" defaultMemberUniqueName="[Table1].[math_score].[All]" allUniqueName="[Table1].[math_score].[All]" dimensionUniqueName="[Table1]" displayFolder="" count="0" memberValueDatatype="20" unbalanced="0"/>
    <cacheHierarchy uniqueName="[Table1].[science_score]" caption="science_score" attribute="1" defaultMemberUniqueName="[Table1].[science_score].[All]" allUniqueName="[Table1].[science_score].[All]" dimensionUniqueName="[Table1]" displayFolder="" count="0" memberValueDatatype="20" unbalanced="0"/>
    <cacheHierarchy uniqueName="[Table1].[english_score]" caption="english_score" attribute="1" defaultMemberUniqueName="[Table1].[english_score].[All]" allUniqueName="[Table1].[english_score].[All]" dimensionUniqueName="[Table1]" displayFolder="" count="0" memberValueDatatype="20" unbalanced="0"/>
    <cacheHierarchy uniqueName="[Table1].[attendance_percent]" caption="attendance_percent" attribute="1" defaultMemberUniqueName="[Table1].[attendance_percent].[All]" allUniqueName="[Table1].[attendance_percent].[All]" dimensionUniqueName="[Table1]" displayFolder="" count="0" memberValueDatatype="5" unbalanced="0"/>
    <cacheHierarchy uniqueName="[Table1].[gender]" caption="gender" attribute="1" defaultMemberUniqueName="[Table1].[gender].[All]" allUniqueName="[Table1].[gender].[All]" dimensionUniqueName="[Table1]" displayFolder="" count="2" memberValueDatatype="130" unbalanced="0"/>
    <cacheHierarchy uniqueName="[Table1].[grade_level]" caption="grade_level" attribute="1" defaultMemberUniqueName="[Table1].[grade_level].[All]" allUniqueName="[Table1].[grade_level].[All]" dimensionUniqueName="[Table1]" displayFolder="" count="2" memberValueDatatype="130" unbalanced="0">
      <fieldsUsage count="2">
        <fieldUsage x="-1"/>
        <fieldUsage x="1"/>
      </fieldsUsage>
    </cacheHierarchy>
    <cacheHierarchy uniqueName="[Table1].[study_group]" caption="study_group" attribute="1" defaultMemberUniqueName="[Table1].[study_group].[All]" allUniqueName="[Table1].[study_group].[All]" dimensionUniqueName="[Table1]" displayFolder="" count="2" memberValueDatatype="130" unbalanced="0"/>
    <cacheHierarchy uniqueName="[Table1].[extra_curricular]" caption="extra_curricular" attribute="1" defaultMemberUniqueName="[Table1].[extra_curricular].[All]" allUniqueName="[Table1].[extra_curricular].[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Table1" count="0" hidden="1">
      <extLst>
        <ext xmlns:x15="http://schemas.microsoft.com/office/spreadsheetml/2010/11/main" uri="{B97F6D7D-B522-45F9-BDA1-12C45D357490}">
          <x15:cacheHierarchy aggregatedColumn="0"/>
        </ext>
      </extLst>
    </cacheHierarchy>
    <cacheHierarchy uniqueName="[Measures].[Sum of science_score]" caption="Sum of science_score" measure="1" displayFolder="" measureGroup="Table1" count="0" hidden="1">
      <extLst>
        <ext xmlns:x15="http://schemas.microsoft.com/office/spreadsheetml/2010/11/main" uri="{B97F6D7D-B522-45F9-BDA1-12C45D357490}">
          <x15:cacheHierarchy aggregatedColumn="2"/>
        </ext>
      </extLst>
    </cacheHierarchy>
    <cacheHierarchy uniqueName="[Measures].[Average of science_score]" caption="Average of science_score" measure="1" displayFolder="" measureGroup="Table1" count="0" hidden="1">
      <extLst>
        <ext xmlns:x15="http://schemas.microsoft.com/office/spreadsheetml/2010/11/main" uri="{B97F6D7D-B522-45F9-BDA1-12C45D357490}">
          <x15:cacheHierarchy aggregatedColumn="2"/>
        </ext>
      </extLst>
    </cacheHierarchy>
    <cacheHierarchy uniqueName="[Measures].[Sum of math_score]" caption="Sum of math_score" measure="1" displayFolder="" measureGroup="Table1" count="0" hidden="1">
      <extLst>
        <ext xmlns:x15="http://schemas.microsoft.com/office/spreadsheetml/2010/11/main" uri="{B97F6D7D-B522-45F9-BDA1-12C45D357490}">
          <x15:cacheHierarchy aggregatedColumn="1"/>
        </ext>
      </extLst>
    </cacheHierarchy>
    <cacheHierarchy uniqueName="[Measures].[Average of math_score]" caption="Average of math_score" measure="1" displayFolder="" measureGroup="Table1" count="0" hidden="1">
      <extLst>
        <ext xmlns:x15="http://schemas.microsoft.com/office/spreadsheetml/2010/11/main" uri="{B97F6D7D-B522-45F9-BDA1-12C45D357490}">
          <x15:cacheHierarchy aggregatedColumn="1"/>
        </ext>
      </extLst>
    </cacheHierarchy>
    <cacheHierarchy uniqueName="[Measures].[Sum of english_score]" caption="Sum of english_score" measure="1" displayFolder="" measureGroup="Table1" count="0" hidden="1">
      <extLst>
        <ext xmlns:x15="http://schemas.microsoft.com/office/spreadsheetml/2010/11/main" uri="{B97F6D7D-B522-45F9-BDA1-12C45D357490}">
          <x15:cacheHierarchy aggregatedColumn="3"/>
        </ext>
      </extLst>
    </cacheHierarchy>
    <cacheHierarchy uniqueName="[Measures].[Average of english_score]" caption="Average of english_score" measure="1" displayFolder="" measureGroup="Table1"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attendance_percent]" caption="Sum of attendance_percent" measure="1" displayFolder="" measureGroup="Table1" count="0" hidden="1">
      <extLst>
        <ext xmlns:x15="http://schemas.microsoft.com/office/spreadsheetml/2010/11/main" uri="{B97F6D7D-B522-45F9-BDA1-12C45D357490}">
          <x15:cacheHierarchy aggregatedColumn="4"/>
        </ext>
      </extLst>
    </cacheHierarchy>
    <cacheHierarchy uniqueName="[Measures].[Average of attendance_percent]" caption="Average of attendance_percent" measure="1" displayFolder="" measureGroup="Table1"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DELL" refreshedDate="46275.468926273148" backgroundQuery="1" createdVersion="6" refreshedVersion="6" minRefreshableVersion="3" recordCount="0" supportSubquery="1" supportAdvancedDrill="1">
  <cacheSource type="external" connectionId="1"/>
  <cacheFields count="2">
    <cacheField name="[Measures].[Average of attendance_percent]" caption="Average of attendance_percent" numFmtId="0" hierarchy="19" level="32767"/>
    <cacheField name="[Table1].[grade_level].[grade_level]" caption="grade_level" numFmtId="0" hierarchy="6" level="1">
      <sharedItems containsSemiMixedTypes="0" containsNonDate="0" containsString="0"/>
    </cacheField>
  </cacheFields>
  <cacheHierarchies count="21">
    <cacheHierarchy uniqueName="[Table1].[student_id]" caption="student_id" attribute="1" defaultMemberUniqueName="[Table1].[student_id].[All]" allUniqueName="[Table1].[student_id].[All]" dimensionUniqueName="[Table1]" displayFolder="" count="0" memberValueDatatype="130" unbalanced="0"/>
    <cacheHierarchy uniqueName="[Table1].[math_score]" caption="math_score" attribute="1" defaultMemberUniqueName="[Table1].[math_score].[All]" allUniqueName="[Table1].[math_score].[All]" dimensionUniqueName="[Table1]" displayFolder="" count="0" memberValueDatatype="20" unbalanced="0"/>
    <cacheHierarchy uniqueName="[Table1].[science_score]" caption="science_score" attribute="1" defaultMemberUniqueName="[Table1].[science_score].[All]" allUniqueName="[Table1].[science_score].[All]" dimensionUniqueName="[Table1]" displayFolder="" count="0" memberValueDatatype="20" unbalanced="0"/>
    <cacheHierarchy uniqueName="[Table1].[english_score]" caption="english_score" attribute="1" defaultMemberUniqueName="[Table1].[english_score].[All]" allUniqueName="[Table1].[english_score].[All]" dimensionUniqueName="[Table1]" displayFolder="" count="0" memberValueDatatype="20" unbalanced="0"/>
    <cacheHierarchy uniqueName="[Table1].[attendance_percent]" caption="attendance_percent" attribute="1" defaultMemberUniqueName="[Table1].[attendance_percent].[All]" allUniqueName="[Table1].[attendance_percent].[All]" dimensionUniqueName="[Table1]" displayFolder="" count="0" memberValueDatatype="5" unbalanced="0"/>
    <cacheHierarchy uniqueName="[Table1].[gender]" caption="gender" attribute="1" defaultMemberUniqueName="[Table1].[gender].[All]" allUniqueName="[Table1].[gender].[All]" dimensionUniqueName="[Table1]" displayFolder="" count="2" memberValueDatatype="130" unbalanced="0"/>
    <cacheHierarchy uniqueName="[Table1].[grade_level]" caption="grade_level" attribute="1" defaultMemberUniqueName="[Table1].[grade_level].[All]" allUniqueName="[Table1].[grade_level].[All]" dimensionUniqueName="[Table1]" displayFolder="" count="2" memberValueDatatype="130" unbalanced="0">
      <fieldsUsage count="2">
        <fieldUsage x="-1"/>
        <fieldUsage x="1"/>
      </fieldsUsage>
    </cacheHierarchy>
    <cacheHierarchy uniqueName="[Table1].[study_group]" caption="study_group" attribute="1" defaultMemberUniqueName="[Table1].[study_group].[All]" allUniqueName="[Table1].[study_group].[All]" dimensionUniqueName="[Table1]" displayFolder="" count="2" memberValueDatatype="130" unbalanced="0"/>
    <cacheHierarchy uniqueName="[Table1].[extra_curricular]" caption="extra_curricular" attribute="1" defaultMemberUniqueName="[Table1].[extra_curricular].[All]" allUniqueName="[Table1].[extra_curricular].[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Table1" count="0" hidden="1">
      <extLst>
        <ext xmlns:x15="http://schemas.microsoft.com/office/spreadsheetml/2010/11/main" uri="{B97F6D7D-B522-45F9-BDA1-12C45D357490}">
          <x15:cacheHierarchy aggregatedColumn="0"/>
        </ext>
      </extLst>
    </cacheHierarchy>
    <cacheHierarchy uniqueName="[Measures].[Sum of science_score]" caption="Sum of science_score" measure="1" displayFolder="" measureGroup="Table1" count="0" hidden="1">
      <extLst>
        <ext xmlns:x15="http://schemas.microsoft.com/office/spreadsheetml/2010/11/main" uri="{B97F6D7D-B522-45F9-BDA1-12C45D357490}">
          <x15:cacheHierarchy aggregatedColumn="2"/>
        </ext>
      </extLst>
    </cacheHierarchy>
    <cacheHierarchy uniqueName="[Measures].[Average of science_score]" caption="Average of science_score" measure="1" displayFolder="" measureGroup="Table1" count="0" hidden="1">
      <extLst>
        <ext xmlns:x15="http://schemas.microsoft.com/office/spreadsheetml/2010/11/main" uri="{B97F6D7D-B522-45F9-BDA1-12C45D357490}">
          <x15:cacheHierarchy aggregatedColumn="2"/>
        </ext>
      </extLst>
    </cacheHierarchy>
    <cacheHierarchy uniqueName="[Measures].[Sum of math_score]" caption="Sum of math_score" measure="1" displayFolder="" measureGroup="Table1" count="0" hidden="1">
      <extLst>
        <ext xmlns:x15="http://schemas.microsoft.com/office/spreadsheetml/2010/11/main" uri="{B97F6D7D-B522-45F9-BDA1-12C45D357490}">
          <x15:cacheHierarchy aggregatedColumn="1"/>
        </ext>
      </extLst>
    </cacheHierarchy>
    <cacheHierarchy uniqueName="[Measures].[Average of math_score]" caption="Average of math_score" measure="1" displayFolder="" measureGroup="Table1" count="0" hidden="1">
      <extLst>
        <ext xmlns:x15="http://schemas.microsoft.com/office/spreadsheetml/2010/11/main" uri="{B97F6D7D-B522-45F9-BDA1-12C45D357490}">
          <x15:cacheHierarchy aggregatedColumn="1"/>
        </ext>
      </extLst>
    </cacheHierarchy>
    <cacheHierarchy uniqueName="[Measures].[Sum of english_score]" caption="Sum of english_score" measure="1" displayFolder="" measureGroup="Table1" count="0" hidden="1">
      <extLst>
        <ext xmlns:x15="http://schemas.microsoft.com/office/spreadsheetml/2010/11/main" uri="{B97F6D7D-B522-45F9-BDA1-12C45D357490}">
          <x15:cacheHierarchy aggregatedColumn="3"/>
        </ext>
      </extLst>
    </cacheHierarchy>
    <cacheHierarchy uniqueName="[Measures].[Average of english_score]" caption="Average of english_score" measure="1" displayFolder="" measureGroup="Table1" count="0" hidden="1">
      <extLst>
        <ext xmlns:x15="http://schemas.microsoft.com/office/spreadsheetml/2010/11/main" uri="{B97F6D7D-B522-45F9-BDA1-12C45D357490}">
          <x15:cacheHierarchy aggregatedColumn="3"/>
        </ext>
      </extLst>
    </cacheHierarchy>
    <cacheHierarchy uniqueName="[Measures].[Sum of attendance_percent]" caption="Sum of attendance_percent" measure="1" displayFolder="" measureGroup="Table1" count="0" hidden="1">
      <extLst>
        <ext xmlns:x15="http://schemas.microsoft.com/office/spreadsheetml/2010/11/main" uri="{B97F6D7D-B522-45F9-BDA1-12C45D357490}">
          <x15:cacheHierarchy aggregatedColumn="4"/>
        </ext>
      </extLst>
    </cacheHierarchy>
    <cacheHierarchy uniqueName="[Measures].[Average of attendance_percent]" caption="Average of attendance_percent"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DELL" refreshedDate="46275.46892777778" backgroundQuery="1" createdVersion="6" refreshedVersion="6" minRefreshableVersion="3" recordCount="0" supportSubquery="1" supportAdvancedDrill="1">
  <cacheSource type="external" connectionId="1"/>
  <cacheFields count="3">
    <cacheField name="[Measures].[Average of attendance_percent]" caption="Average of attendance_percent" numFmtId="0" hierarchy="19" level="32767"/>
    <cacheField name="[Table1].[study_group].[study_group]" caption="study_group" numFmtId="0" hierarchy="7" level="1">
      <sharedItems count="3">
        <s v="Group A"/>
        <s v="Group B"/>
        <s v="Group C"/>
      </sharedItems>
    </cacheField>
    <cacheField name="[Table1].[grade_level].[grade_level]" caption="grade_level" numFmtId="0" hierarchy="6" level="1">
      <sharedItems containsSemiMixedTypes="0" containsNonDate="0" containsString="0"/>
    </cacheField>
  </cacheFields>
  <cacheHierarchies count="21">
    <cacheHierarchy uniqueName="[Table1].[student_id]" caption="student_id" attribute="1" defaultMemberUniqueName="[Table1].[student_id].[All]" allUniqueName="[Table1].[student_id].[All]" dimensionUniqueName="[Table1]" displayFolder="" count="0" memberValueDatatype="130" unbalanced="0"/>
    <cacheHierarchy uniqueName="[Table1].[math_score]" caption="math_score" attribute="1" defaultMemberUniqueName="[Table1].[math_score].[All]" allUniqueName="[Table1].[math_score].[All]" dimensionUniqueName="[Table1]" displayFolder="" count="0" memberValueDatatype="20" unbalanced="0"/>
    <cacheHierarchy uniqueName="[Table1].[science_score]" caption="science_score" attribute="1" defaultMemberUniqueName="[Table1].[science_score].[All]" allUniqueName="[Table1].[science_score].[All]" dimensionUniqueName="[Table1]" displayFolder="" count="0" memberValueDatatype="20" unbalanced="0"/>
    <cacheHierarchy uniqueName="[Table1].[english_score]" caption="english_score" attribute="1" defaultMemberUniqueName="[Table1].[english_score].[All]" allUniqueName="[Table1].[english_score].[All]" dimensionUniqueName="[Table1]" displayFolder="" count="0" memberValueDatatype="20" unbalanced="0"/>
    <cacheHierarchy uniqueName="[Table1].[attendance_percent]" caption="attendance_percent" attribute="1" defaultMemberUniqueName="[Table1].[attendance_percent].[All]" allUniqueName="[Table1].[attendance_percent].[All]" dimensionUniqueName="[Table1]" displayFolder="" count="0" memberValueDatatype="5" unbalanced="0"/>
    <cacheHierarchy uniqueName="[Table1].[gender]" caption="gender" attribute="1" defaultMemberUniqueName="[Table1].[gender].[All]" allUniqueName="[Table1].[gender].[All]" dimensionUniqueName="[Table1]" displayFolder="" count="2" memberValueDatatype="130" unbalanced="0"/>
    <cacheHierarchy uniqueName="[Table1].[grade_level]" caption="grade_level" attribute="1" defaultMemberUniqueName="[Table1].[grade_level].[All]" allUniqueName="[Table1].[grade_level].[All]" dimensionUniqueName="[Table1]" displayFolder="" count="2" memberValueDatatype="130" unbalanced="0">
      <fieldsUsage count="2">
        <fieldUsage x="-1"/>
        <fieldUsage x="2"/>
      </fieldsUsage>
    </cacheHierarchy>
    <cacheHierarchy uniqueName="[Table1].[study_group]" caption="study_group" attribute="1" defaultMemberUniqueName="[Table1].[study_group].[All]" allUniqueName="[Table1].[study_group].[All]" dimensionUniqueName="[Table1]" displayFolder="" count="2" memberValueDatatype="130" unbalanced="0">
      <fieldsUsage count="2">
        <fieldUsage x="-1"/>
        <fieldUsage x="1"/>
      </fieldsUsage>
    </cacheHierarchy>
    <cacheHierarchy uniqueName="[Table1].[extra_curricular]" caption="extra_curricular" attribute="1" defaultMemberUniqueName="[Table1].[extra_curricular].[All]" allUniqueName="[Table1].[extra_curricular].[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Table1" count="0" hidden="1">
      <extLst>
        <ext xmlns:x15="http://schemas.microsoft.com/office/spreadsheetml/2010/11/main" uri="{B97F6D7D-B522-45F9-BDA1-12C45D357490}">
          <x15:cacheHierarchy aggregatedColumn="0"/>
        </ext>
      </extLst>
    </cacheHierarchy>
    <cacheHierarchy uniqueName="[Measures].[Sum of science_score]" caption="Sum of science_score" measure="1" displayFolder="" measureGroup="Table1" count="0" hidden="1">
      <extLst>
        <ext xmlns:x15="http://schemas.microsoft.com/office/spreadsheetml/2010/11/main" uri="{B97F6D7D-B522-45F9-BDA1-12C45D357490}">
          <x15:cacheHierarchy aggregatedColumn="2"/>
        </ext>
      </extLst>
    </cacheHierarchy>
    <cacheHierarchy uniqueName="[Measures].[Average of science_score]" caption="Average of science_score" measure="1" displayFolder="" measureGroup="Table1" count="0" hidden="1">
      <extLst>
        <ext xmlns:x15="http://schemas.microsoft.com/office/spreadsheetml/2010/11/main" uri="{B97F6D7D-B522-45F9-BDA1-12C45D357490}">
          <x15:cacheHierarchy aggregatedColumn="2"/>
        </ext>
      </extLst>
    </cacheHierarchy>
    <cacheHierarchy uniqueName="[Measures].[Sum of math_score]" caption="Sum of math_score" measure="1" displayFolder="" measureGroup="Table1" count="0" hidden="1">
      <extLst>
        <ext xmlns:x15="http://schemas.microsoft.com/office/spreadsheetml/2010/11/main" uri="{B97F6D7D-B522-45F9-BDA1-12C45D357490}">
          <x15:cacheHierarchy aggregatedColumn="1"/>
        </ext>
      </extLst>
    </cacheHierarchy>
    <cacheHierarchy uniqueName="[Measures].[Average of math_score]" caption="Average of math_score" measure="1" displayFolder="" measureGroup="Table1" count="0" hidden="1">
      <extLst>
        <ext xmlns:x15="http://schemas.microsoft.com/office/spreadsheetml/2010/11/main" uri="{B97F6D7D-B522-45F9-BDA1-12C45D357490}">
          <x15:cacheHierarchy aggregatedColumn="1"/>
        </ext>
      </extLst>
    </cacheHierarchy>
    <cacheHierarchy uniqueName="[Measures].[Sum of english_score]" caption="Sum of english_score" measure="1" displayFolder="" measureGroup="Table1" count="0" hidden="1">
      <extLst>
        <ext xmlns:x15="http://schemas.microsoft.com/office/spreadsheetml/2010/11/main" uri="{B97F6D7D-B522-45F9-BDA1-12C45D357490}">
          <x15:cacheHierarchy aggregatedColumn="3"/>
        </ext>
      </extLst>
    </cacheHierarchy>
    <cacheHierarchy uniqueName="[Measures].[Average of english_score]" caption="Average of english_score" measure="1" displayFolder="" measureGroup="Table1" count="0" hidden="1">
      <extLst>
        <ext xmlns:x15="http://schemas.microsoft.com/office/spreadsheetml/2010/11/main" uri="{B97F6D7D-B522-45F9-BDA1-12C45D357490}">
          <x15:cacheHierarchy aggregatedColumn="3"/>
        </ext>
      </extLst>
    </cacheHierarchy>
    <cacheHierarchy uniqueName="[Measures].[Sum of attendance_percent]" caption="Sum of attendance_percent" measure="1" displayFolder="" measureGroup="Table1" count="0" hidden="1">
      <extLst>
        <ext xmlns:x15="http://schemas.microsoft.com/office/spreadsheetml/2010/11/main" uri="{B97F6D7D-B522-45F9-BDA1-12C45D357490}">
          <x15:cacheHierarchy aggregatedColumn="4"/>
        </ext>
      </extLst>
    </cacheHierarchy>
    <cacheHierarchy uniqueName="[Measures].[Average of attendance_percent]" caption="Average of attendance_percent"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DELL" refreshedDate="46275.46892835648" backgroundQuery="1" createdVersion="6" refreshedVersion="6" minRefreshableVersion="3" recordCount="0" supportSubquery="1" supportAdvancedDrill="1">
  <cacheSource type="external" connectionId="1"/>
  <cacheFields count="3">
    <cacheField name="[Measures].[Average of attendance_percent]" caption="Average of attendance_percent" numFmtId="0" hierarchy="19" level="32767"/>
    <cacheField name="[Table1].[extra_curricular].[extra_curricular]" caption="extra_curricular" numFmtId="0" hierarchy="8" level="1">
      <sharedItems count="4">
        <s v="Art"/>
        <s v="Music"/>
        <s v="None"/>
        <s v="Sports"/>
      </sharedItems>
    </cacheField>
    <cacheField name="[Table1].[grade_level].[grade_level]" caption="grade_level" numFmtId="0" hierarchy="6" level="1">
      <sharedItems containsSemiMixedTypes="0" containsNonDate="0" containsString="0"/>
    </cacheField>
  </cacheFields>
  <cacheHierarchies count="21">
    <cacheHierarchy uniqueName="[Table1].[student_id]" caption="student_id" attribute="1" defaultMemberUniqueName="[Table1].[student_id].[All]" allUniqueName="[Table1].[student_id].[All]" dimensionUniqueName="[Table1]" displayFolder="" count="0" memberValueDatatype="130" unbalanced="0"/>
    <cacheHierarchy uniqueName="[Table1].[math_score]" caption="math_score" attribute="1" defaultMemberUniqueName="[Table1].[math_score].[All]" allUniqueName="[Table1].[math_score].[All]" dimensionUniqueName="[Table1]" displayFolder="" count="0" memberValueDatatype="20" unbalanced="0"/>
    <cacheHierarchy uniqueName="[Table1].[science_score]" caption="science_score" attribute="1" defaultMemberUniqueName="[Table1].[science_score].[All]" allUniqueName="[Table1].[science_score].[All]" dimensionUniqueName="[Table1]" displayFolder="" count="0" memberValueDatatype="20" unbalanced="0"/>
    <cacheHierarchy uniqueName="[Table1].[english_score]" caption="english_score" attribute="1" defaultMemberUniqueName="[Table1].[english_score].[All]" allUniqueName="[Table1].[english_score].[All]" dimensionUniqueName="[Table1]" displayFolder="" count="0" memberValueDatatype="20" unbalanced="0"/>
    <cacheHierarchy uniqueName="[Table1].[attendance_percent]" caption="attendance_percent" attribute="1" defaultMemberUniqueName="[Table1].[attendance_percent].[All]" allUniqueName="[Table1].[attendance_percent].[All]" dimensionUniqueName="[Table1]" displayFolder="" count="0" memberValueDatatype="5" unbalanced="0"/>
    <cacheHierarchy uniqueName="[Table1].[gender]" caption="gender" attribute="1" defaultMemberUniqueName="[Table1].[gender].[All]" allUniqueName="[Table1].[gender].[All]" dimensionUniqueName="[Table1]" displayFolder="" count="2" memberValueDatatype="130" unbalanced="0"/>
    <cacheHierarchy uniqueName="[Table1].[grade_level]" caption="grade_level" attribute="1" defaultMemberUniqueName="[Table1].[grade_level].[All]" allUniqueName="[Table1].[grade_level].[All]" dimensionUniqueName="[Table1]" displayFolder="" count="2" memberValueDatatype="130" unbalanced="0">
      <fieldsUsage count="2">
        <fieldUsage x="-1"/>
        <fieldUsage x="2"/>
      </fieldsUsage>
    </cacheHierarchy>
    <cacheHierarchy uniqueName="[Table1].[study_group]" caption="study_group" attribute="1" defaultMemberUniqueName="[Table1].[study_group].[All]" allUniqueName="[Table1].[study_group].[All]" dimensionUniqueName="[Table1]" displayFolder="" count="2" memberValueDatatype="130" unbalanced="0"/>
    <cacheHierarchy uniqueName="[Table1].[extra_curricular]" caption="extra_curricular" attribute="1" defaultMemberUniqueName="[Table1].[extra_curricular].[All]" allUniqueName="[Table1].[extra_curricular].[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Table1" count="0" hidden="1">
      <extLst>
        <ext xmlns:x15="http://schemas.microsoft.com/office/spreadsheetml/2010/11/main" uri="{B97F6D7D-B522-45F9-BDA1-12C45D357490}">
          <x15:cacheHierarchy aggregatedColumn="0"/>
        </ext>
      </extLst>
    </cacheHierarchy>
    <cacheHierarchy uniqueName="[Measures].[Sum of science_score]" caption="Sum of science_score" measure="1" displayFolder="" measureGroup="Table1" count="0" hidden="1">
      <extLst>
        <ext xmlns:x15="http://schemas.microsoft.com/office/spreadsheetml/2010/11/main" uri="{B97F6D7D-B522-45F9-BDA1-12C45D357490}">
          <x15:cacheHierarchy aggregatedColumn="2"/>
        </ext>
      </extLst>
    </cacheHierarchy>
    <cacheHierarchy uniqueName="[Measures].[Average of science_score]" caption="Average of science_score" measure="1" displayFolder="" measureGroup="Table1" count="0" hidden="1">
      <extLst>
        <ext xmlns:x15="http://schemas.microsoft.com/office/spreadsheetml/2010/11/main" uri="{B97F6D7D-B522-45F9-BDA1-12C45D357490}">
          <x15:cacheHierarchy aggregatedColumn="2"/>
        </ext>
      </extLst>
    </cacheHierarchy>
    <cacheHierarchy uniqueName="[Measures].[Sum of math_score]" caption="Sum of math_score" measure="1" displayFolder="" measureGroup="Table1" count="0" hidden="1">
      <extLst>
        <ext xmlns:x15="http://schemas.microsoft.com/office/spreadsheetml/2010/11/main" uri="{B97F6D7D-B522-45F9-BDA1-12C45D357490}">
          <x15:cacheHierarchy aggregatedColumn="1"/>
        </ext>
      </extLst>
    </cacheHierarchy>
    <cacheHierarchy uniqueName="[Measures].[Average of math_score]" caption="Average of math_score" measure="1" displayFolder="" measureGroup="Table1" count="0" hidden="1">
      <extLst>
        <ext xmlns:x15="http://schemas.microsoft.com/office/spreadsheetml/2010/11/main" uri="{B97F6D7D-B522-45F9-BDA1-12C45D357490}">
          <x15:cacheHierarchy aggregatedColumn="1"/>
        </ext>
      </extLst>
    </cacheHierarchy>
    <cacheHierarchy uniqueName="[Measures].[Sum of english_score]" caption="Sum of english_score" measure="1" displayFolder="" measureGroup="Table1" count="0" hidden="1">
      <extLst>
        <ext xmlns:x15="http://schemas.microsoft.com/office/spreadsheetml/2010/11/main" uri="{B97F6D7D-B522-45F9-BDA1-12C45D357490}">
          <x15:cacheHierarchy aggregatedColumn="3"/>
        </ext>
      </extLst>
    </cacheHierarchy>
    <cacheHierarchy uniqueName="[Measures].[Average of english_score]" caption="Average of english_score" measure="1" displayFolder="" measureGroup="Table1" count="0" hidden="1">
      <extLst>
        <ext xmlns:x15="http://schemas.microsoft.com/office/spreadsheetml/2010/11/main" uri="{B97F6D7D-B522-45F9-BDA1-12C45D357490}">
          <x15:cacheHierarchy aggregatedColumn="3"/>
        </ext>
      </extLst>
    </cacheHierarchy>
    <cacheHierarchy uniqueName="[Measures].[Sum of attendance_percent]" caption="Sum of attendance_percent" measure="1" displayFolder="" measureGroup="Table1" count="0" hidden="1">
      <extLst>
        <ext xmlns:x15="http://schemas.microsoft.com/office/spreadsheetml/2010/11/main" uri="{B97F6D7D-B522-45F9-BDA1-12C45D357490}">
          <x15:cacheHierarchy aggregatedColumn="4"/>
        </ext>
      </extLst>
    </cacheHierarchy>
    <cacheHierarchy uniqueName="[Measures].[Average of attendance_percent]" caption="Average of attendance_percent"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DELL" refreshedDate="46275.468927314818" backgroundQuery="1" createdVersion="6" refreshedVersion="6" minRefreshableVersion="3" recordCount="0" supportSubquery="1" supportAdvancedDrill="1">
  <cacheSource type="external" connectionId="1"/>
  <cacheFields count="2">
    <cacheField name="[Measures].[Average of attendance_percent]" caption="Average of attendance_percent" numFmtId="0" hierarchy="19" level="32767"/>
    <cacheField name="[Table1].[grade_level].[grade_level]" caption="grade_level" numFmtId="0" hierarchy="6" level="1">
      <sharedItems count="4">
        <s v="Grade 10"/>
        <s v="Grade 11"/>
        <s v="Grade 12"/>
        <s v="Grade 9"/>
      </sharedItems>
    </cacheField>
  </cacheFields>
  <cacheHierarchies count="21">
    <cacheHierarchy uniqueName="[Table1].[student_id]" caption="student_id" attribute="1" defaultMemberUniqueName="[Table1].[student_id].[All]" allUniqueName="[Table1].[student_id].[All]" dimensionUniqueName="[Table1]" displayFolder="" count="0" memberValueDatatype="130" unbalanced="0"/>
    <cacheHierarchy uniqueName="[Table1].[math_score]" caption="math_score" attribute="1" defaultMemberUniqueName="[Table1].[math_score].[All]" allUniqueName="[Table1].[math_score].[All]" dimensionUniqueName="[Table1]" displayFolder="" count="0" memberValueDatatype="20" unbalanced="0"/>
    <cacheHierarchy uniqueName="[Table1].[science_score]" caption="science_score" attribute="1" defaultMemberUniqueName="[Table1].[science_score].[All]" allUniqueName="[Table1].[science_score].[All]" dimensionUniqueName="[Table1]" displayFolder="" count="0" memberValueDatatype="20" unbalanced="0"/>
    <cacheHierarchy uniqueName="[Table1].[english_score]" caption="english_score" attribute="1" defaultMemberUniqueName="[Table1].[english_score].[All]" allUniqueName="[Table1].[english_score].[All]" dimensionUniqueName="[Table1]" displayFolder="" count="0" memberValueDatatype="20" unbalanced="0"/>
    <cacheHierarchy uniqueName="[Table1].[attendance_percent]" caption="attendance_percent" attribute="1" defaultMemberUniqueName="[Table1].[attendance_percent].[All]" allUniqueName="[Table1].[attendance_percent].[All]" dimensionUniqueName="[Table1]" displayFolder="" count="0" memberValueDatatype="5" unbalanced="0"/>
    <cacheHierarchy uniqueName="[Table1].[gender]" caption="gender" attribute="1" defaultMemberUniqueName="[Table1].[gender].[All]" allUniqueName="[Table1].[gender].[All]" dimensionUniqueName="[Table1]" displayFolder="" count="2" memberValueDatatype="130" unbalanced="0"/>
    <cacheHierarchy uniqueName="[Table1].[grade_level]" caption="grade_level" attribute="1" defaultMemberUniqueName="[Table1].[grade_level].[All]" allUniqueName="[Table1].[grade_level].[All]" dimensionUniqueName="[Table1]" displayFolder="" count="2" memberValueDatatype="130" unbalanced="0">
      <fieldsUsage count="2">
        <fieldUsage x="-1"/>
        <fieldUsage x="1"/>
      </fieldsUsage>
    </cacheHierarchy>
    <cacheHierarchy uniqueName="[Table1].[study_group]" caption="study_group" attribute="1" defaultMemberUniqueName="[Table1].[study_group].[All]" allUniqueName="[Table1].[study_group].[All]" dimensionUniqueName="[Table1]" displayFolder="" count="2" memberValueDatatype="130" unbalanced="0"/>
    <cacheHierarchy uniqueName="[Table1].[extra_curricular]" caption="extra_curricular" attribute="1" defaultMemberUniqueName="[Table1].[extra_curricular].[All]" allUniqueName="[Table1].[extra_curricular].[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Table1" count="0" hidden="1">
      <extLst>
        <ext xmlns:x15="http://schemas.microsoft.com/office/spreadsheetml/2010/11/main" uri="{B97F6D7D-B522-45F9-BDA1-12C45D357490}">
          <x15:cacheHierarchy aggregatedColumn="0"/>
        </ext>
      </extLst>
    </cacheHierarchy>
    <cacheHierarchy uniqueName="[Measures].[Sum of science_score]" caption="Sum of science_score" measure="1" displayFolder="" measureGroup="Table1" count="0" hidden="1">
      <extLst>
        <ext xmlns:x15="http://schemas.microsoft.com/office/spreadsheetml/2010/11/main" uri="{B97F6D7D-B522-45F9-BDA1-12C45D357490}">
          <x15:cacheHierarchy aggregatedColumn="2"/>
        </ext>
      </extLst>
    </cacheHierarchy>
    <cacheHierarchy uniqueName="[Measures].[Average of science_score]" caption="Average of science_score" measure="1" displayFolder="" measureGroup="Table1" count="0" hidden="1">
      <extLst>
        <ext xmlns:x15="http://schemas.microsoft.com/office/spreadsheetml/2010/11/main" uri="{B97F6D7D-B522-45F9-BDA1-12C45D357490}">
          <x15:cacheHierarchy aggregatedColumn="2"/>
        </ext>
      </extLst>
    </cacheHierarchy>
    <cacheHierarchy uniqueName="[Measures].[Sum of math_score]" caption="Sum of math_score" measure="1" displayFolder="" measureGroup="Table1" count="0" hidden="1">
      <extLst>
        <ext xmlns:x15="http://schemas.microsoft.com/office/spreadsheetml/2010/11/main" uri="{B97F6D7D-B522-45F9-BDA1-12C45D357490}">
          <x15:cacheHierarchy aggregatedColumn="1"/>
        </ext>
      </extLst>
    </cacheHierarchy>
    <cacheHierarchy uniqueName="[Measures].[Average of math_score]" caption="Average of math_score" measure="1" displayFolder="" measureGroup="Table1" count="0" hidden="1">
      <extLst>
        <ext xmlns:x15="http://schemas.microsoft.com/office/spreadsheetml/2010/11/main" uri="{B97F6D7D-B522-45F9-BDA1-12C45D357490}">
          <x15:cacheHierarchy aggregatedColumn="1"/>
        </ext>
      </extLst>
    </cacheHierarchy>
    <cacheHierarchy uniqueName="[Measures].[Sum of english_score]" caption="Sum of english_score" measure="1" displayFolder="" measureGroup="Table1" count="0" hidden="1">
      <extLst>
        <ext xmlns:x15="http://schemas.microsoft.com/office/spreadsheetml/2010/11/main" uri="{B97F6D7D-B522-45F9-BDA1-12C45D357490}">
          <x15:cacheHierarchy aggregatedColumn="3"/>
        </ext>
      </extLst>
    </cacheHierarchy>
    <cacheHierarchy uniqueName="[Measures].[Average of english_score]" caption="Average of english_score" measure="1" displayFolder="" measureGroup="Table1" count="0" hidden="1">
      <extLst>
        <ext xmlns:x15="http://schemas.microsoft.com/office/spreadsheetml/2010/11/main" uri="{B97F6D7D-B522-45F9-BDA1-12C45D357490}">
          <x15:cacheHierarchy aggregatedColumn="3"/>
        </ext>
      </extLst>
    </cacheHierarchy>
    <cacheHierarchy uniqueName="[Measures].[Sum of attendance_percent]" caption="Sum of attendance_percent" measure="1" displayFolder="" measureGroup="Table1" count="0" hidden="1">
      <extLst>
        <ext xmlns:x15="http://schemas.microsoft.com/office/spreadsheetml/2010/11/main" uri="{B97F6D7D-B522-45F9-BDA1-12C45D357490}">
          <x15:cacheHierarchy aggregatedColumn="4"/>
        </ext>
      </extLst>
    </cacheHierarchy>
    <cacheHierarchy uniqueName="[Measures].[Average of attendance_percent]" caption="Average of attendance_percent"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DELL" refreshedDate="46275.468929050927" backgroundQuery="1" createdVersion="6" refreshedVersion="6" minRefreshableVersion="3" recordCount="0" supportSubquery="1" supportAdvancedDrill="1">
  <cacheSource type="external" connectionId="1"/>
  <cacheFields count="4">
    <cacheField name="[Table1].[grade_level].[grade_level]" caption="grade_level" numFmtId="0" hierarchy="6" level="1">
      <sharedItems count="4">
        <s v="Grade 10"/>
        <s v="Grade 11"/>
        <s v="Grade 12"/>
        <s v="Grade 9"/>
      </sharedItems>
    </cacheField>
    <cacheField name="[Measures].[Average of math_score]" caption="Average of math_score" numFmtId="0" hierarchy="15" level="32767"/>
    <cacheField name="[Measures].[Average of science_score]" caption="Average of science_score" numFmtId="0" hierarchy="13" level="32767"/>
    <cacheField name="[Measures].[Average of english_score]" caption="Average of english_score" numFmtId="0" hierarchy="17" level="32767"/>
  </cacheFields>
  <cacheHierarchies count="21">
    <cacheHierarchy uniqueName="[Table1].[student_id]" caption="student_id" attribute="1" defaultMemberUniqueName="[Table1].[student_id].[All]" allUniqueName="[Table1].[student_id].[All]" dimensionUniqueName="[Table1]" displayFolder="" count="0" memberValueDatatype="130" unbalanced="0"/>
    <cacheHierarchy uniqueName="[Table1].[math_score]" caption="math_score" attribute="1" defaultMemberUniqueName="[Table1].[math_score].[All]" allUniqueName="[Table1].[math_score].[All]" dimensionUniqueName="[Table1]" displayFolder="" count="0" memberValueDatatype="20" unbalanced="0"/>
    <cacheHierarchy uniqueName="[Table1].[science_score]" caption="science_score" attribute="1" defaultMemberUniqueName="[Table1].[science_score].[All]" allUniqueName="[Table1].[science_score].[All]" dimensionUniqueName="[Table1]" displayFolder="" count="0" memberValueDatatype="20" unbalanced="0"/>
    <cacheHierarchy uniqueName="[Table1].[english_score]" caption="english_score" attribute="1" defaultMemberUniqueName="[Table1].[english_score].[All]" allUniqueName="[Table1].[english_score].[All]" dimensionUniqueName="[Table1]" displayFolder="" count="0" memberValueDatatype="20" unbalanced="0"/>
    <cacheHierarchy uniqueName="[Table1].[attendance_percent]" caption="attendance_percent" attribute="1" defaultMemberUniqueName="[Table1].[attendance_percent].[All]" allUniqueName="[Table1].[attendance_percent].[All]" dimensionUniqueName="[Table1]" displayFolder="" count="0" memberValueDatatype="5" unbalanced="0"/>
    <cacheHierarchy uniqueName="[Table1].[gender]" caption="gender" attribute="1" defaultMemberUniqueName="[Table1].[gender].[All]" allUniqueName="[Table1].[gender].[All]" dimensionUniqueName="[Table1]" displayFolder="" count="2" memberValueDatatype="130" unbalanced="0"/>
    <cacheHierarchy uniqueName="[Table1].[grade_level]" caption="grade_level" attribute="1" defaultMemberUniqueName="[Table1].[grade_level].[All]" allUniqueName="[Table1].[grade_level].[All]" dimensionUniqueName="[Table1]" displayFolder="" count="2" memberValueDatatype="130" unbalanced="0">
      <fieldsUsage count="2">
        <fieldUsage x="-1"/>
        <fieldUsage x="0"/>
      </fieldsUsage>
    </cacheHierarchy>
    <cacheHierarchy uniqueName="[Table1].[study_group]" caption="study_group" attribute="1" defaultMemberUniqueName="[Table1].[study_group].[All]" allUniqueName="[Table1].[study_group].[All]" dimensionUniqueName="[Table1]" displayFolder="" count="2" memberValueDatatype="130" unbalanced="0"/>
    <cacheHierarchy uniqueName="[Table1].[extra_curricular]" caption="extra_curricular" attribute="1" defaultMemberUniqueName="[Table1].[extra_curricular].[All]" allUniqueName="[Table1].[extra_curricular].[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Table1" count="0" hidden="1">
      <extLst>
        <ext xmlns:x15="http://schemas.microsoft.com/office/spreadsheetml/2010/11/main" uri="{B97F6D7D-B522-45F9-BDA1-12C45D357490}">
          <x15:cacheHierarchy aggregatedColumn="0"/>
        </ext>
      </extLst>
    </cacheHierarchy>
    <cacheHierarchy uniqueName="[Measures].[Sum of science_score]" caption="Sum of science_score" measure="1" displayFolder="" measureGroup="Table1" count="0" hidden="1">
      <extLst>
        <ext xmlns:x15="http://schemas.microsoft.com/office/spreadsheetml/2010/11/main" uri="{B97F6D7D-B522-45F9-BDA1-12C45D357490}">
          <x15:cacheHierarchy aggregatedColumn="2"/>
        </ext>
      </extLst>
    </cacheHierarchy>
    <cacheHierarchy uniqueName="[Measures].[Average of science_score]" caption="Average of science_score" measure="1" displayFolder="" measureGroup="Table1"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math_score]" caption="Sum of math_score" measure="1" displayFolder="" measureGroup="Table1" count="0" hidden="1">
      <extLst>
        <ext xmlns:x15="http://schemas.microsoft.com/office/spreadsheetml/2010/11/main" uri="{B97F6D7D-B522-45F9-BDA1-12C45D357490}">
          <x15:cacheHierarchy aggregatedColumn="1"/>
        </ext>
      </extLst>
    </cacheHierarchy>
    <cacheHierarchy uniqueName="[Measures].[Average of math_score]" caption="Average of math_score"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english_score]" caption="Sum of english_score" measure="1" displayFolder="" measureGroup="Table1" count="0" hidden="1">
      <extLst>
        <ext xmlns:x15="http://schemas.microsoft.com/office/spreadsheetml/2010/11/main" uri="{B97F6D7D-B522-45F9-BDA1-12C45D357490}">
          <x15:cacheHierarchy aggregatedColumn="3"/>
        </ext>
      </extLst>
    </cacheHierarchy>
    <cacheHierarchy uniqueName="[Measures].[Average of english_score]" caption="Average of english_score" measure="1" displayFolder="" measureGroup="Table1" count="0" oneField="1" hidden="1">
      <fieldsUsage count="1">
        <fieldUsage x="3"/>
      </fieldsUsage>
      <extLst>
        <ext xmlns:x15="http://schemas.microsoft.com/office/spreadsheetml/2010/11/main" uri="{B97F6D7D-B522-45F9-BDA1-12C45D357490}">
          <x15:cacheHierarchy aggregatedColumn="3"/>
        </ext>
      </extLst>
    </cacheHierarchy>
    <cacheHierarchy uniqueName="[Measures].[Sum of attendance_percent]" caption="Sum of attendance_percent" measure="1" displayFolder="" measureGroup="Table1" count="0" hidden="1">
      <extLst>
        <ext xmlns:x15="http://schemas.microsoft.com/office/spreadsheetml/2010/11/main" uri="{B97F6D7D-B522-45F9-BDA1-12C45D357490}">
          <x15:cacheHierarchy aggregatedColumn="4"/>
        </ext>
      </extLst>
    </cacheHierarchy>
    <cacheHierarchy uniqueName="[Measures].[Average of attendance_percent]" caption="Average of attendance_percent" measure="1" displayFolder="" measureGroup="Table1"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DELL" refreshedDate="46275.468929513889" backgroundQuery="1" createdVersion="6" refreshedVersion="6" minRefreshableVersion="3" recordCount="0" supportSubquery="1" supportAdvancedDrill="1">
  <cacheSource type="external" connectionId="1"/>
  <cacheFields count="4">
    <cacheField name="[Measures].[Average of math_score]" caption="Average of math_score" numFmtId="0" hierarchy="15" level="32767"/>
    <cacheField name="[Measures].[Average of science_score]" caption="Average of science_score" numFmtId="0" hierarchy="13" level="32767"/>
    <cacheField name="[Measures].[Average of english_score]" caption="Average of english_score" numFmtId="0" hierarchy="17" level="32767"/>
    <cacheField name="[Table1].[gender].[gender]" caption="gender" numFmtId="0" hierarchy="5" level="1">
      <sharedItems count="2">
        <s v="Female"/>
        <s v="Male"/>
      </sharedItems>
    </cacheField>
  </cacheFields>
  <cacheHierarchies count="21">
    <cacheHierarchy uniqueName="[Table1].[student_id]" caption="student_id" attribute="1" defaultMemberUniqueName="[Table1].[student_id].[All]" allUniqueName="[Table1].[student_id].[All]" dimensionUniqueName="[Table1]" displayFolder="" count="0" memberValueDatatype="130" unbalanced="0"/>
    <cacheHierarchy uniqueName="[Table1].[math_score]" caption="math_score" attribute="1" defaultMemberUniqueName="[Table1].[math_score].[All]" allUniqueName="[Table1].[math_score].[All]" dimensionUniqueName="[Table1]" displayFolder="" count="0" memberValueDatatype="20" unbalanced="0"/>
    <cacheHierarchy uniqueName="[Table1].[science_score]" caption="science_score" attribute="1" defaultMemberUniqueName="[Table1].[science_score].[All]" allUniqueName="[Table1].[science_score].[All]" dimensionUniqueName="[Table1]" displayFolder="" count="0" memberValueDatatype="20" unbalanced="0"/>
    <cacheHierarchy uniqueName="[Table1].[english_score]" caption="english_score" attribute="1" defaultMemberUniqueName="[Table1].[english_score].[All]" allUniqueName="[Table1].[english_score].[All]" dimensionUniqueName="[Table1]" displayFolder="" count="0" memberValueDatatype="20" unbalanced="0"/>
    <cacheHierarchy uniqueName="[Table1].[attendance_percent]" caption="attendance_percent" attribute="1" defaultMemberUniqueName="[Table1].[attendance_percent].[All]" allUniqueName="[Table1].[attendance_percent].[All]" dimensionUniqueName="[Table1]" displayFolder="" count="0" memberValueDatatype="5" unbalanced="0"/>
    <cacheHierarchy uniqueName="[Table1].[gender]" caption="gender" attribute="1" defaultMemberUniqueName="[Table1].[gender].[All]" allUniqueName="[Table1].[gender].[All]" dimensionUniqueName="[Table1]" displayFolder="" count="2" memberValueDatatype="130" unbalanced="0">
      <fieldsUsage count="2">
        <fieldUsage x="-1"/>
        <fieldUsage x="3"/>
      </fieldsUsage>
    </cacheHierarchy>
    <cacheHierarchy uniqueName="[Table1].[grade_level]" caption="grade_level" attribute="1" defaultMemberUniqueName="[Table1].[grade_level].[All]" allUniqueName="[Table1].[grade_level].[All]" dimensionUniqueName="[Table1]" displayFolder="" count="2" memberValueDatatype="130" unbalanced="0"/>
    <cacheHierarchy uniqueName="[Table1].[study_group]" caption="study_group" attribute="1" defaultMemberUniqueName="[Table1].[study_group].[All]" allUniqueName="[Table1].[study_group].[All]" dimensionUniqueName="[Table1]" displayFolder="" count="2" memberValueDatatype="130" unbalanced="0"/>
    <cacheHierarchy uniqueName="[Table1].[extra_curricular]" caption="extra_curricular" attribute="1" defaultMemberUniqueName="[Table1].[extra_curricular].[All]" allUniqueName="[Table1].[extra_curricular].[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Table1" count="0" hidden="1">
      <extLst>
        <ext xmlns:x15="http://schemas.microsoft.com/office/spreadsheetml/2010/11/main" uri="{B97F6D7D-B522-45F9-BDA1-12C45D357490}">
          <x15:cacheHierarchy aggregatedColumn="0"/>
        </ext>
      </extLst>
    </cacheHierarchy>
    <cacheHierarchy uniqueName="[Measures].[Sum of science_score]" caption="Sum of science_score" measure="1" displayFolder="" measureGroup="Table1" count="0" hidden="1">
      <extLst>
        <ext xmlns:x15="http://schemas.microsoft.com/office/spreadsheetml/2010/11/main" uri="{B97F6D7D-B522-45F9-BDA1-12C45D357490}">
          <x15:cacheHierarchy aggregatedColumn="2"/>
        </ext>
      </extLst>
    </cacheHierarchy>
    <cacheHierarchy uniqueName="[Measures].[Average of science_score]" caption="Average of science_score"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math_score]" caption="Sum of math_score" measure="1" displayFolder="" measureGroup="Table1" count="0" hidden="1">
      <extLst>
        <ext xmlns:x15="http://schemas.microsoft.com/office/spreadsheetml/2010/11/main" uri="{B97F6D7D-B522-45F9-BDA1-12C45D357490}">
          <x15:cacheHierarchy aggregatedColumn="1"/>
        </ext>
      </extLst>
    </cacheHierarchy>
    <cacheHierarchy uniqueName="[Measures].[Average of math_score]" caption="Average of math_score"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english_score]" caption="Sum of english_score" measure="1" displayFolder="" measureGroup="Table1" count="0" hidden="1">
      <extLst>
        <ext xmlns:x15="http://schemas.microsoft.com/office/spreadsheetml/2010/11/main" uri="{B97F6D7D-B522-45F9-BDA1-12C45D357490}">
          <x15:cacheHierarchy aggregatedColumn="3"/>
        </ext>
      </extLst>
    </cacheHierarchy>
    <cacheHierarchy uniqueName="[Measures].[Average of english_score]" caption="Average of english_score" measure="1" displayFolder="" measureGroup="Table1"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attendance_percent]" caption="Sum of attendance_percent" measure="1" displayFolder="" measureGroup="Table1" count="0" hidden="1">
      <extLst>
        <ext xmlns:x15="http://schemas.microsoft.com/office/spreadsheetml/2010/11/main" uri="{B97F6D7D-B522-45F9-BDA1-12C45D357490}">
          <x15:cacheHierarchy aggregatedColumn="4"/>
        </ext>
      </extLst>
    </cacheHierarchy>
    <cacheHierarchy uniqueName="[Measures].[Average of attendance_percent]" caption="Average of attendance_percent" measure="1" displayFolder="" measureGroup="Table1"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DELL" refreshedDate="46273.920109375002"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Table1].[student_id]" caption="student_id" attribute="1" defaultMemberUniqueName="[Table1].[student_id].[All]" allUniqueName="[Table1].[student_id].[All]" dimensionUniqueName="[Table1]" displayFolder="" count="0" memberValueDatatype="130" unbalanced="0"/>
    <cacheHierarchy uniqueName="[Table1].[math_score]" caption="math_score" attribute="1" defaultMemberUniqueName="[Table1].[math_score].[All]" allUniqueName="[Table1].[math_score].[All]" dimensionUniqueName="[Table1]" displayFolder="" count="0" memberValueDatatype="20" unbalanced="0"/>
    <cacheHierarchy uniqueName="[Table1].[science_score]" caption="science_score" attribute="1" defaultMemberUniqueName="[Table1].[science_score].[All]" allUniqueName="[Table1].[science_score].[All]" dimensionUniqueName="[Table1]" displayFolder="" count="0" memberValueDatatype="20" unbalanced="0"/>
    <cacheHierarchy uniqueName="[Table1].[english_score]" caption="english_score" attribute="1" defaultMemberUniqueName="[Table1].[english_score].[All]" allUniqueName="[Table1].[english_score].[All]" dimensionUniqueName="[Table1]" displayFolder="" count="0" memberValueDatatype="20" unbalanced="0"/>
    <cacheHierarchy uniqueName="[Table1].[attendance_percent]" caption="attendance_percent" attribute="1" defaultMemberUniqueName="[Table1].[attendance_percent].[All]" allUniqueName="[Table1].[attendance_percent].[All]" dimensionUniqueName="[Table1]" displayFolder="" count="0" memberValueDatatype="5" unbalanced="0"/>
    <cacheHierarchy uniqueName="[Table1].[gender]" caption="gender" attribute="1" defaultMemberUniqueName="[Table1].[gender].[All]" allUniqueName="[Table1].[gender].[All]" dimensionUniqueName="[Table1]" displayFolder="" count="2" memberValueDatatype="130" unbalanced="0"/>
    <cacheHierarchy uniqueName="[Table1].[grade_level]" caption="grade_level" attribute="1" defaultMemberUniqueName="[Table1].[grade_level].[All]" allUniqueName="[Table1].[grade_level].[All]" dimensionUniqueName="[Table1]" displayFolder="" count="2" memberValueDatatype="130" unbalanced="0"/>
    <cacheHierarchy uniqueName="[Table1].[study_group]" caption="study_group" attribute="1" defaultMemberUniqueName="[Table1].[study_group].[All]" allUniqueName="[Table1].[study_group].[All]" dimensionUniqueName="[Table1]" displayFolder="" count="2" memberValueDatatype="130" unbalanced="0"/>
    <cacheHierarchy uniqueName="[Table1].[extra_curricular]" caption="extra_curricular" attribute="1" defaultMemberUniqueName="[Table1].[extra_curricular].[All]" allUniqueName="[Table1].[extra_curricular].[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student_id]" caption="Count of student_id" measure="1" displayFolder="" measureGroup="Table1" count="0" hidden="1">
      <extLst>
        <ext xmlns:x15="http://schemas.microsoft.com/office/spreadsheetml/2010/11/main" uri="{B97F6D7D-B522-45F9-BDA1-12C45D357490}">
          <x15:cacheHierarchy aggregatedColumn="0"/>
        </ext>
      </extLst>
    </cacheHierarchy>
    <cacheHierarchy uniqueName="[Measures].[Sum of science_score]" caption="Sum of science_score" measure="1" displayFolder="" measureGroup="Table1" count="0" hidden="1">
      <extLst>
        <ext xmlns:x15="http://schemas.microsoft.com/office/spreadsheetml/2010/11/main" uri="{B97F6D7D-B522-45F9-BDA1-12C45D357490}">
          <x15:cacheHierarchy aggregatedColumn="2"/>
        </ext>
      </extLst>
    </cacheHierarchy>
    <cacheHierarchy uniqueName="[Measures].[Average of science_score]" caption="Average of science_score" measure="1" displayFolder="" measureGroup="Table1" count="0" hidden="1">
      <extLst>
        <ext xmlns:x15="http://schemas.microsoft.com/office/spreadsheetml/2010/11/main" uri="{B97F6D7D-B522-45F9-BDA1-12C45D357490}">
          <x15:cacheHierarchy aggregatedColumn="2"/>
        </ext>
      </extLst>
    </cacheHierarchy>
    <cacheHierarchy uniqueName="[Measures].[Sum of math_score]" caption="Sum of math_score" measure="1" displayFolder="" measureGroup="Table1" count="0" hidden="1">
      <extLst>
        <ext xmlns:x15="http://schemas.microsoft.com/office/spreadsheetml/2010/11/main" uri="{B97F6D7D-B522-45F9-BDA1-12C45D357490}">
          <x15:cacheHierarchy aggregatedColumn="1"/>
        </ext>
      </extLst>
    </cacheHierarchy>
    <cacheHierarchy uniqueName="[Measures].[Average of math_score]" caption="Average of math_score" measure="1" displayFolder="" measureGroup="Table1" count="0" hidden="1">
      <extLst>
        <ext xmlns:x15="http://schemas.microsoft.com/office/spreadsheetml/2010/11/main" uri="{B97F6D7D-B522-45F9-BDA1-12C45D357490}">
          <x15:cacheHierarchy aggregatedColumn="1"/>
        </ext>
      </extLst>
    </cacheHierarchy>
    <cacheHierarchy uniqueName="[Measures].[Sum of english_score]" caption="Sum of english_score" measure="1" displayFolder="" measureGroup="Table1" count="0" hidden="1">
      <extLst>
        <ext xmlns:x15="http://schemas.microsoft.com/office/spreadsheetml/2010/11/main" uri="{B97F6D7D-B522-45F9-BDA1-12C45D357490}">
          <x15:cacheHierarchy aggregatedColumn="3"/>
        </ext>
      </extLst>
    </cacheHierarchy>
    <cacheHierarchy uniqueName="[Measures].[Average of english_score]" caption="Average of english_score" measure="1" displayFolder="" measureGroup="Table1" count="0" hidden="1">
      <extLst>
        <ext xmlns:x15="http://schemas.microsoft.com/office/spreadsheetml/2010/11/main" uri="{B97F6D7D-B522-45F9-BDA1-12C45D357490}">
          <x15:cacheHierarchy aggregatedColumn="3"/>
        </ext>
      </extLst>
    </cacheHierarchy>
    <cacheHierarchy uniqueName="[Measures].[Sum of attendance_percent]" caption="Sum of attendance_percent" measure="1" displayFolder="" measureGroup="Table1" count="0" hidden="1">
      <extLst>
        <ext xmlns:x15="http://schemas.microsoft.com/office/spreadsheetml/2010/11/main" uri="{B97F6D7D-B522-45F9-BDA1-12C45D357490}">
          <x15:cacheHierarchy aggregatedColumn="4"/>
        </ext>
      </extLst>
    </cacheHierarchy>
    <cacheHierarchy uniqueName="[Measures].[Average of attendance_percent]" caption="Average of attendance_percent"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9:A10" firstHeaderRow="1" firstDataRow="1" firstDataCol="0"/>
  <pivotFields count="2">
    <pivotField dataField="1" showAll="0"/>
    <pivotField allDrilled="1" showAll="0" dataSourceSort="1" defaultAttributeDrillState="1"/>
  </pivotFields>
  <rowItems count="1">
    <i/>
  </rowItems>
  <colItems count="1">
    <i/>
  </colItems>
  <dataFields count="1">
    <dataField name="Avg Math Score" fld="0" subtotal="average" baseField="0" baseItem="1" numFmtId="2"/>
  </dataFields>
  <formats count="1">
    <format dxfId="0">
      <pivotArea outline="0" collapsedLevelsAreSubtotals="1" fieldPosition="0"/>
    </format>
  </formats>
  <pivotHierarchies count="2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caption="Students Count"/>
    <pivotHierarchy dragToData="1"/>
    <pivotHierarchy dragToData="1" caption="Avg sciencescore"/>
    <pivotHierarchy dragToData="1"/>
    <pivotHierarchy dragToData="1" caption="Avg Math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 performance analysis.xlsx!Table1">
        <x15:activeTabTopLevelEntity name="[Table1]"/>
      </x15:pivotTableUISettings>
    </ext>
  </extLst>
</pivotTableDefinition>
</file>

<file path=xl/pivotTables/pivotTable2.xml><?xml version="1.0" encoding="utf-8"?>
<pivotTableDefinition xmlns="http://schemas.openxmlformats.org/spreadsheetml/2006/main" name="PivotTable8" cacheId="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0">
  <location ref="C15:D19" firstHeaderRow="1" firstDataRow="1" firstDataCol="1"/>
  <pivotFields count="3">
    <pivotField dataField="1" showAll="0"/>
    <pivotField axis="axisRow" allDrilled="1" showAll="0" dataSourceSort="1" defaultAttributeDrillState="1">
      <items count="4">
        <item x="0"/>
        <item x="1"/>
        <item x="2"/>
        <item t="default"/>
      </items>
    </pivotField>
    <pivotField allDrilled="1" showAll="0" dataSourceSort="1" defaultAttributeDrillState="1"/>
  </pivotFields>
  <rowFields count="1">
    <field x="1"/>
  </rowFields>
  <rowItems count="4">
    <i>
      <x/>
    </i>
    <i>
      <x v="1"/>
    </i>
    <i>
      <x v="2"/>
    </i>
    <i t="grand">
      <x/>
    </i>
  </rowItems>
  <colItems count="1">
    <i/>
  </colItems>
  <dataFields count="1">
    <dataField name="Average of attendance_percent" fld="0" subtotal="average" baseField="0" baseItem="0" numFmtId="2"/>
  </dataFields>
  <formats count="6">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s>
  <chartFormats count="4">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attendance_percent"/>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Lst>
</pivotTableDefinition>
</file>

<file path=xl/pivotTables/pivotTable3.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6:A7" firstHeaderRow="1" firstDataRow="1" firstDataCol="0"/>
  <pivotFields count="2">
    <pivotField dataField="1" showAll="0"/>
    <pivotField allDrilled="1" showAll="0" dataSourceSort="1" defaultAttributeDrillState="1"/>
  </pivotFields>
  <rowItems count="1">
    <i/>
  </rowItems>
  <colItems count="1">
    <i/>
  </colItems>
  <dataFields count="1">
    <dataField name="Avg Science Score" fld="0" subtotal="average" baseField="0" baseItem="1" numFmtId="2"/>
  </dataFields>
  <formats count="1">
    <format dxfId="7">
      <pivotArea outline="0" collapsedLevelsAreSubtotals="1" fieldPosition="0"/>
    </format>
  </formats>
  <pivotHierarchies count="2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caption="Students Count"/>
    <pivotHierarchy dragToData="1"/>
    <pivotHierarchy dragToData="1" caption="Avg Science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 performance analysis.xlsx!Table1">
        <x15:activeTabTopLevelEntity name="[Table1]"/>
      </x15:pivotTableUISettings>
    </ext>
  </extLst>
</pivotTableDefinition>
</file>

<file path=xl/pivotTables/pivotTable4.xml><?xml version="1.0" encoding="utf-8"?>
<pivotTableDefinition xmlns="http://schemas.openxmlformats.org/spreadsheetml/2006/main" name="PivotTable7" cacheId="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3">
  <location ref="C8:D13" firstHeaderRow="1" firstDataRow="1" firstDataCol="1"/>
  <pivotFields count="2">
    <pivotField dataField="1" showAll="0"/>
    <pivotField axis="axisRow" allDrilled="1" showAll="0" dataSourceSort="1" defaultAttributeDrillState="1">
      <items count="5">
        <item x="0"/>
        <item x="1"/>
        <item x="2"/>
        <item x="3"/>
        <item t="default"/>
      </items>
    </pivotField>
  </pivotFields>
  <rowFields count="1">
    <field x="1"/>
  </rowFields>
  <rowItems count="5">
    <i>
      <x/>
    </i>
    <i>
      <x v="1"/>
    </i>
    <i>
      <x v="2"/>
    </i>
    <i>
      <x v="3"/>
    </i>
    <i t="grand">
      <x/>
    </i>
  </rowItems>
  <colItems count="1">
    <i/>
  </colItems>
  <dataFields count="1">
    <dataField name="Average of attendance_percent" fld="0" subtotal="average" baseField="0" baseItem="0" numFmtId="2"/>
  </dataFields>
  <formats count="6">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s>
  <chartFormats count="3">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attendance_percent"/>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Lst>
</pivotTableDefinition>
</file>

<file path=xl/pivotTables/pivotTable5.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3:A4" firstHeaderRow="1" firstDataRow="1" firstDataCol="0"/>
  <pivotFields count="2">
    <pivotField dataField="1" showAll="0"/>
    <pivotField allDrilled="1" showAll="0" dataSourceSort="1" defaultAttributeDrillState="1"/>
  </pivotFields>
  <rowItems count="1">
    <i/>
  </rowItems>
  <colItems count="1">
    <i/>
  </colItems>
  <dataFields count="1">
    <dataField name="Students Count" fld="0" subtotal="count" baseField="0" baseItem="1"/>
  </dataFields>
  <pivotHierarchies count="2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caption="Students Count"/>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 performance analysis.xlsx!Table1">
        <x15:activeTabTopLevelEntity name="[Table1]"/>
      </x15:pivotTableUISettings>
    </ext>
  </extLst>
</pivotTableDefinition>
</file>

<file path=xl/pivotTables/pivotTable6.xml><?xml version="1.0" encoding="utf-8"?>
<pivotTableDefinition xmlns="http://schemas.openxmlformats.org/spreadsheetml/2006/main" name="PivotTable6" cacheId="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15:A16" firstHeaderRow="1" firstDataRow="1" firstDataCol="0"/>
  <pivotFields count="2">
    <pivotField dataField="1" showAll="0"/>
    <pivotField allDrilled="1" showAll="0" dataSourceSort="1" defaultAttributeDrillState="1"/>
  </pivotFields>
  <rowItems count="1">
    <i/>
  </rowItems>
  <colItems count="1">
    <i/>
  </colItems>
  <dataFields count="1">
    <dataField name="Avg Attendance %" fld="0" subtotal="average" baseField="0" baseItem="1" numFmtId="2"/>
  </dataFields>
  <formats count="2">
    <format dxfId="15">
      <pivotArea outline="0" collapsedLevelsAreSubtotals="1" fieldPosition="0"/>
    </format>
    <format dxfId="14">
      <pivotArea outline="0" collapsedLevelsAreSubtotals="1" fieldPosition="0"/>
    </format>
  </formats>
  <pivotHierarchies count="2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caption="Students Count"/>
    <pivotHierarchy dragToData="1"/>
    <pivotHierarchy dragToData="1"/>
    <pivotHierarchy dragToData="1"/>
    <pivotHierarchy dragToData="1"/>
    <pivotHierarchy dragToData="1"/>
    <pivotHierarchy dragToData="1"/>
    <pivotHierarchy dragToData="1"/>
    <pivotHierarchy dragToData="1" caption="Avg Attendance %"/>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 performance analysis.xlsx!Table1">
        <x15:activeTabTopLevelEntity name="[Table1]"/>
      </x15:pivotTableUISettings>
    </ext>
  </extLst>
</pivotTableDefinition>
</file>

<file path=xl/pivotTables/pivotTable7.xml><?xml version="1.0" encoding="utf-8"?>
<pivotTableDefinition xmlns="http://schemas.openxmlformats.org/spreadsheetml/2006/main" name="PivotTable11" cacheId="1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9">
  <location ref="F9:I12" firstHeaderRow="0" firstDataRow="1" firstDataCol="1"/>
  <pivotFields count="4">
    <pivotField dataField="1" showAll="0"/>
    <pivotField dataField="1" showAll="0"/>
    <pivotField dataField="1" showAll="0"/>
    <pivotField axis="axisRow" allDrilled="1" showAll="0" dataSourceSort="1" defaultAttributeDrillState="1">
      <items count="3">
        <item x="0"/>
        <item x="1"/>
        <item t="default"/>
      </items>
    </pivotField>
  </pivotFields>
  <rowFields count="1">
    <field x="3"/>
  </rowFields>
  <rowItems count="3">
    <i>
      <x/>
    </i>
    <i>
      <x v="1"/>
    </i>
    <i t="grand">
      <x/>
    </i>
  </rowItems>
  <colFields count="1">
    <field x="-2"/>
  </colFields>
  <colItems count="3">
    <i>
      <x/>
    </i>
    <i i="1">
      <x v="1"/>
    </i>
    <i i="2">
      <x v="2"/>
    </i>
  </colItems>
  <dataFields count="3">
    <dataField name="Math Avg" fld="0" subtotal="average" baseField="0" baseItem="0"/>
    <dataField name="Science Avg" fld="1" subtotal="average" baseField="0" baseItem="0"/>
    <dataField name="English Avg" fld="2" subtotal="average" baseField="0" baseItem="0"/>
  </dataFields>
  <formats count="6">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collapsedLevelsAreSubtotals="1" fieldPosition="0"/>
    </format>
    <format dxfId="16">
      <pivotArea outline="0" collapsedLevelsAreSubtotals="1" fieldPosition="0"/>
    </format>
  </formats>
  <chartFormats count="12">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2"/>
          </reference>
        </references>
      </pivotArea>
    </chartFormat>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 chart="25" format="8" series="1">
      <pivotArea type="data" outline="0" fieldPosition="0">
        <references count="1">
          <reference field="4294967294" count="1" selected="0">
            <x v="2"/>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6" format="2" series="1">
      <pivotArea type="data" outline="0" fieldPosition="0">
        <references count="1">
          <reference field="4294967294" count="1" selected="0">
            <x v="2"/>
          </reference>
        </references>
      </pivotArea>
    </chartFormat>
    <chartFormat chart="28" format="6"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1"/>
          </reference>
        </references>
      </pivotArea>
    </chartFormat>
    <chartFormat chart="28" format="8" series="1">
      <pivotArea type="data" outline="0" fieldPosition="0">
        <references count="1">
          <reference field="4294967294" count="1" selected="0">
            <x v="2"/>
          </reference>
        </references>
      </pivotArea>
    </chartFormat>
  </chartFormats>
  <pivotHierarchies count="2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Science Avg"/>
    <pivotHierarchy dragToData="1"/>
    <pivotHierarchy dragToData="1" caption="Math Avg"/>
    <pivotHierarchy dragToData="1"/>
    <pivotHierarchy dragToData="1" caption="English Avg"/>
    <pivotHierarchy dragToData="1"/>
    <pivotHierarchy dragToData="1" caption="Average of attendance_percent"/>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Lst>
</pivotTableDefinition>
</file>

<file path=xl/pivotTables/pivotTable8.xml><?xml version="1.0" encoding="utf-8"?>
<pivotTableDefinition xmlns="http://schemas.openxmlformats.org/spreadsheetml/2006/main" name="PivotTable10" cacheId="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6">
  <location ref="F2:I7" firstHeaderRow="0" firstDataRow="1" firstDataCol="1"/>
  <pivotFields count="4">
    <pivotField axis="axisRow" allDrilled="1" showAll="0" dataSourceSort="1" defaultAttributeDrillState="1">
      <items count="5">
        <item x="0"/>
        <item x="1"/>
        <item x="2"/>
        <item x="3"/>
        <item t="default"/>
      </items>
    </pivotField>
    <pivotField dataField="1" showAll="0"/>
    <pivotField dataField="1" showAll="0"/>
    <pivotField dataField="1" showAll="0"/>
  </pivotFields>
  <rowFields count="1">
    <field x="0"/>
  </rowFields>
  <rowItems count="5">
    <i>
      <x/>
    </i>
    <i>
      <x v="1"/>
    </i>
    <i>
      <x v="2"/>
    </i>
    <i>
      <x v="3"/>
    </i>
    <i t="grand">
      <x/>
    </i>
  </rowItems>
  <colFields count="1">
    <field x="-2"/>
  </colFields>
  <colItems count="3">
    <i>
      <x/>
    </i>
    <i i="1">
      <x v="1"/>
    </i>
    <i i="2">
      <x v="2"/>
    </i>
  </colItems>
  <dataFields count="3">
    <dataField name="Math Avg" fld="1" subtotal="average" baseField="0" baseItem="0"/>
    <dataField name="Science Avg" fld="2" subtotal="average" baseField="0" baseItem="0"/>
    <dataField name="English Avg" fld="3" subtotal="average" baseField="0" baseItem="0"/>
  </dataFields>
  <formats count="6">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s>
  <chartFormats count="6">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2"/>
          </reference>
        </references>
      </pivotArea>
    </chartFormat>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 chart="25" format="8" series="1">
      <pivotArea type="data" outline="0" fieldPosition="0">
        <references count="1">
          <reference field="4294967294" count="1" selected="0">
            <x v="2"/>
          </reference>
        </references>
      </pivotArea>
    </chartFormat>
  </chartFormats>
  <pivotHierarchies count="2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caption="Science Avg"/>
    <pivotHierarchy dragToData="1"/>
    <pivotHierarchy dragToData="1" caption="Math Avg"/>
    <pivotHierarchy dragToData="1"/>
    <pivotHierarchy dragToData="1" caption="English Avg"/>
    <pivotHierarchy dragToData="1"/>
    <pivotHierarchy dragToData="1" caption="Average of attendance_percent"/>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Lst>
</pivotTableDefinition>
</file>

<file path=xl/pivotTables/pivotTable9.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12:A13" firstHeaderRow="1" firstDataRow="1" firstDataCol="0"/>
  <pivotFields count="2">
    <pivotField dataField="1" showAll="0"/>
    <pivotField allDrilled="1" showAll="0" dataSourceSort="1" defaultAttributeDrillState="1"/>
  </pivotFields>
  <rowItems count="1">
    <i/>
  </rowItems>
  <colItems count="1">
    <i/>
  </colItems>
  <dataFields count="1">
    <dataField name="Avg English Score" fld="0" subtotal="average" baseField="0" baseItem="1"/>
  </dataFields>
  <pivotHierarchies count="2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caption="Students Count"/>
    <pivotHierarchy dragToData="1"/>
    <pivotHierarchy dragToData="1"/>
    <pivotHierarchy dragToData="1"/>
    <pivotHierarchy dragToData="1"/>
    <pivotHierarchy dragToData="1"/>
    <pivotHierarchy dragToData="1" caption="Avg English Scor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 performance analysis.xlsx!Table1">
        <x15:activeTabTopLevelEntity name="[Table1]"/>
      </x15:pivotTableUISettings>
    </ext>
  </extLst>
</pivotTableDefinition>
</file>

<file path=xl/pivotTables/pivotTable10.xml><?xml version="1.0" encoding="utf-8"?>
<pivotTableDefinition xmlns="http://schemas.openxmlformats.org/spreadsheetml/2006/main" name="PivotTable9" cacheId="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3">
  <location ref="C21:D26" firstHeaderRow="1" firstDataRow="1" firstDataCol="1"/>
  <pivotFields count="3">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s>
  <rowFields count="1">
    <field x="1"/>
  </rowFields>
  <rowItems count="5">
    <i>
      <x/>
    </i>
    <i>
      <x v="1"/>
    </i>
    <i>
      <x v="2"/>
    </i>
    <i>
      <x v="3"/>
    </i>
    <i t="grand">
      <x/>
    </i>
  </rowItems>
  <colItems count="1">
    <i/>
  </colItems>
  <dataFields count="1">
    <dataField name="Average of attendance_percent" fld="0" subtotal="average" baseField="0" baseItem="0" numFmtId="2"/>
  </dataFields>
  <formats count="6">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s>
  <chartFormats count="4">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attendance_percent"/>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Lst>
</pivotTableDefinition>
</file>

<file path=xl/pivotTables/pivotTable1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2">
  <location ref="C3:D6"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Average of attendance_percent" fld="1" subtotal="average" baseField="0" baseItem="0" numFmtId="2"/>
  </dataFields>
  <formats count="6">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outline="0" collapsedLevelsAreSubtotals="1" fieldPosition="0"/>
    </format>
    <format dxfId="35">
      <pivotArea outline="0" collapsedLevelsAreSubtotals="1" fieldPosition="0"/>
    </format>
    <format dxfId="34">
      <pivotArea outline="0" collapsedLevelsAreSubtotals="1" fieldPosition="0"/>
    </format>
  </formats>
  <chartFormats count="7">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0" count="1" selected="0">
            <x v="0"/>
          </reference>
        </references>
      </pivotArea>
    </chartFormat>
    <chartFormat chart="10" format="3">
      <pivotArea type="data" outline="0" fieldPosition="0">
        <references count="2">
          <reference field="4294967294" count="1" selected="0">
            <x v="0"/>
          </reference>
          <reference field="0" count="1" selected="0">
            <x v="1"/>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0" count="1" selected="0">
            <x v="0"/>
          </reference>
        </references>
      </pivotArea>
    </chartFormat>
    <chartFormat chart="11" format="9">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attendance_percent"/>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extra_curricular" sourceName="[Table1].[extra_curricula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s>
  <data>
    <olap pivotCacheId="1">
      <levels count="2">
        <level uniqueName="[Table1].[extra_curricular].[(All)]" sourceCaption="(All)" count="0"/>
        <level uniqueName="[Table1].[extra_curricular].[extra_curricular]" sourceCaption="extra_curricular" count="4">
          <ranges>
            <range startItem="0">
              <i n="[Table1].[extra_curricular].&amp;[Art]" c="Art"/>
              <i n="[Table1].[extra_curricular].&amp;[Music]" c="Music"/>
              <i n="[Table1].[extra_curricular].&amp;[None]" c="None"/>
              <i n="[Table1].[extra_curricular].&amp;[Sports]" c="Sports"/>
            </range>
          </ranges>
        </level>
      </levels>
      <selections count="1">
        <selection n="[Table1].[extra_curricul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Table1].[gende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s>
  <data>
    <olap pivotCacheId="1">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rade_level" sourceName="[Table1].[grade_level]">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s>
  <data>
    <olap pivotCacheId="1">
      <levels count="2">
        <level uniqueName="[Table1].[grade_level].[(All)]" sourceCaption="(All)" count="0"/>
        <level uniqueName="[Table1].[grade_level].[grade_level]" sourceCaption="grade_level" count="4">
          <ranges>
            <range startItem="0">
              <i n="[Table1].[grade_level].&amp;[Grade 10]" c="Grade 10"/>
              <i n="[Table1].[grade_level].&amp;[Grade 11]" c="Grade 11"/>
              <i n="[Table1].[grade_level].&amp;[Grade 12]" c="Grade 12"/>
              <i n="[Table1].[grade_level].&amp;[Grade 9]" c="Grade 9"/>
            </range>
          </ranges>
        </level>
      </levels>
      <selections count="1">
        <selection n="[Table1].[grade_lev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tudy_group" sourceName="[Table1].[study_group]">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s>
  <data>
    <olap pivotCacheId="1">
      <levels count="2">
        <level uniqueName="[Table1].[study_group].[(All)]" sourceCaption="(All)" count="0"/>
        <level uniqueName="[Table1].[study_group].[study_group]" sourceCaption="study_group" count="3">
          <ranges>
            <range startItem="0">
              <i n="[Table1].[study_group].&amp;[Group A]" c="Group A"/>
              <i n="[Table1].[study_group].&amp;[Group B]" c="Group B"/>
              <i n="[Table1].[study_group].&amp;[Group C]" c="Group C"/>
            </range>
          </ranges>
        </level>
      </levels>
      <selections count="1">
        <selection n="[Table1].[study_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extra_curricular" cache="Slicer_extra_curricular" caption="extra_curricular" level="1" rowHeight="241300"/>
  <slicer name="gender" cache="Slicer_gender" caption="gender" level="1" rowHeight="241300"/>
  <slicer name="grade_level" cache="Slicer_grade_level" caption="grade_level" level="1" rowHeight="241300"/>
  <slicer name="study_group" cache="Slicer_study_group" caption="study_group" level="1" rowHeight="241300"/>
</slicers>
</file>

<file path=xl/tables/table1.xml><?xml version="1.0" encoding="utf-8"?>
<table xmlns="http://schemas.openxmlformats.org/spreadsheetml/2006/main" id="1" name="Table1" displayName="Table1" ref="A1:I251" totalsRowShown="0">
  <autoFilter ref="A1:I251"/>
  <tableColumns count="9">
    <tableColumn id="1" name="student_id"/>
    <tableColumn id="2" name="math_score"/>
    <tableColumn id="3" name="science_score"/>
    <tableColumn id="4" name="english_score"/>
    <tableColumn id="5" name="attendance_percent"/>
    <tableColumn id="6" name="gender"/>
    <tableColumn id="7" name="grade_level"/>
    <tableColumn id="8" name="study_group"/>
    <tableColumn id="9" name="extra_curricul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6"/>
  <sheetViews>
    <sheetView workbookViewId="0">
      <selection activeCell="B29" sqref="B29"/>
    </sheetView>
  </sheetViews>
  <sheetFormatPr defaultRowHeight="14.5" x14ac:dyDescent="0.35"/>
  <cols>
    <col min="1" max="1" width="16" customWidth="1"/>
    <col min="3" max="3" width="12.36328125" customWidth="1"/>
    <col min="4" max="4" width="27.54296875" customWidth="1"/>
    <col min="5" max="5" width="10.7265625" bestFit="1" customWidth="1"/>
    <col min="6" max="6" width="12.36328125" bestFit="1" customWidth="1"/>
    <col min="7" max="7" width="8.81640625" customWidth="1"/>
    <col min="8" max="8" width="10.36328125" customWidth="1"/>
    <col min="9" max="9" width="10.08984375" customWidth="1"/>
  </cols>
  <sheetData>
    <row r="2" spans="1:9" x14ac:dyDescent="0.35">
      <c r="F2" s="5" t="s">
        <v>283</v>
      </c>
      <c r="G2" t="s">
        <v>285</v>
      </c>
      <c r="H2" t="s">
        <v>286</v>
      </c>
      <c r="I2" t="s">
        <v>287</v>
      </c>
    </row>
    <row r="3" spans="1:9" x14ac:dyDescent="0.35">
      <c r="A3" t="s">
        <v>272</v>
      </c>
      <c r="C3" s="5" t="s">
        <v>283</v>
      </c>
      <c r="D3" t="s">
        <v>284</v>
      </c>
      <c r="F3" s="6" t="s">
        <v>18</v>
      </c>
      <c r="G3" s="3">
        <v>68.447761194029852</v>
      </c>
      <c r="H3" s="3">
        <v>68.492537313432834</v>
      </c>
      <c r="I3" s="3">
        <v>69.462686567164184</v>
      </c>
    </row>
    <row r="4" spans="1:9" x14ac:dyDescent="0.35">
      <c r="A4" s="2">
        <v>250</v>
      </c>
      <c r="C4" s="6" t="s">
        <v>15</v>
      </c>
      <c r="D4" s="3">
        <v>80.047586206896554</v>
      </c>
      <c r="F4" s="6" t="s">
        <v>32</v>
      </c>
      <c r="G4" s="3">
        <v>68.761904761904759</v>
      </c>
      <c r="H4" s="3">
        <v>69.650793650793645</v>
      </c>
      <c r="I4" s="3">
        <v>70.587301587301582</v>
      </c>
    </row>
    <row r="5" spans="1:9" x14ac:dyDescent="0.35">
      <c r="C5" s="6" t="s">
        <v>10</v>
      </c>
      <c r="D5" s="3">
        <v>80.249477611940307</v>
      </c>
      <c r="F5" s="6" t="s">
        <v>11</v>
      </c>
      <c r="G5" s="3">
        <v>76.793103448275858</v>
      </c>
      <c r="H5" s="3">
        <v>70.58620689655173</v>
      </c>
      <c r="I5" s="3">
        <v>72.758620689655174</v>
      </c>
    </row>
    <row r="6" spans="1:9" x14ac:dyDescent="0.35">
      <c r="A6" t="s">
        <v>274</v>
      </c>
      <c r="C6" s="6" t="s">
        <v>282</v>
      </c>
      <c r="D6" s="3">
        <v>80.155799999999999</v>
      </c>
      <c r="F6" s="6" t="s">
        <v>22</v>
      </c>
      <c r="G6" s="3">
        <v>66.225806451612897</v>
      </c>
      <c r="H6" s="3">
        <v>70.758064516129039</v>
      </c>
      <c r="I6" s="3">
        <v>66.677419354838705</v>
      </c>
    </row>
    <row r="7" spans="1:9" x14ac:dyDescent="0.35">
      <c r="A7" s="3">
        <v>69.831999999999994</v>
      </c>
      <c r="F7" s="6" t="s">
        <v>282</v>
      </c>
      <c r="G7" s="3">
        <v>69.912000000000006</v>
      </c>
      <c r="H7" s="3">
        <v>69.831999999999994</v>
      </c>
      <c r="I7" s="3">
        <v>69.819999999999993</v>
      </c>
    </row>
    <row r="8" spans="1:9" x14ac:dyDescent="0.35">
      <c r="C8" s="5" t="s">
        <v>283</v>
      </c>
      <c r="D8" t="s">
        <v>284</v>
      </c>
    </row>
    <row r="9" spans="1:9" x14ac:dyDescent="0.35">
      <c r="A9" t="s">
        <v>273</v>
      </c>
      <c r="C9" s="6" t="s">
        <v>18</v>
      </c>
      <c r="D9" s="3">
        <v>79.583880597014925</v>
      </c>
      <c r="F9" s="5" t="s">
        <v>283</v>
      </c>
      <c r="G9" t="s">
        <v>285</v>
      </c>
      <c r="H9" t="s">
        <v>286</v>
      </c>
      <c r="I9" t="s">
        <v>287</v>
      </c>
    </row>
    <row r="10" spans="1:9" x14ac:dyDescent="0.35">
      <c r="A10" s="3">
        <v>69.912000000000006</v>
      </c>
      <c r="C10" s="6" t="s">
        <v>32</v>
      </c>
      <c r="D10" s="3">
        <v>80.297619047619051</v>
      </c>
      <c r="F10" s="6" t="s">
        <v>15</v>
      </c>
      <c r="G10" s="3">
        <v>69.887931034482762</v>
      </c>
      <c r="H10" s="3">
        <v>69.810344827586206</v>
      </c>
      <c r="I10" s="3">
        <v>69.991379310344826</v>
      </c>
    </row>
    <row r="11" spans="1:9" x14ac:dyDescent="0.35">
      <c r="C11" s="6" t="s">
        <v>11</v>
      </c>
      <c r="D11" s="3">
        <v>78.126724137931035</v>
      </c>
      <c r="F11" s="6" t="s">
        <v>10</v>
      </c>
      <c r="G11" s="3">
        <v>69.932835820895519</v>
      </c>
      <c r="H11" s="3">
        <v>69.850746268656721</v>
      </c>
      <c r="I11" s="3">
        <v>69.671641791044777</v>
      </c>
    </row>
    <row r="12" spans="1:9" x14ac:dyDescent="0.35">
      <c r="A12" t="s">
        <v>275</v>
      </c>
      <c r="C12" s="6" t="s">
        <v>22</v>
      </c>
      <c r="D12" s="3">
        <v>82.52790322580644</v>
      </c>
      <c r="F12" s="6" t="s">
        <v>282</v>
      </c>
      <c r="G12" s="3">
        <v>69.912000000000006</v>
      </c>
      <c r="H12" s="3">
        <v>69.831999999999994</v>
      </c>
      <c r="I12" s="3">
        <v>69.819999999999993</v>
      </c>
    </row>
    <row r="13" spans="1:9" x14ac:dyDescent="0.35">
      <c r="A13" s="2">
        <v>69.819999999999993</v>
      </c>
      <c r="C13" s="6" t="s">
        <v>282</v>
      </c>
      <c r="D13" s="3">
        <v>80.155799999999999</v>
      </c>
    </row>
    <row r="15" spans="1:9" x14ac:dyDescent="0.35">
      <c r="A15" t="s">
        <v>276</v>
      </c>
      <c r="C15" s="5" t="s">
        <v>283</v>
      </c>
      <c r="D15" t="s">
        <v>284</v>
      </c>
    </row>
    <row r="16" spans="1:9" x14ac:dyDescent="0.35">
      <c r="A16" s="3">
        <v>80.155799999999999</v>
      </c>
      <c r="C16" s="6" t="s">
        <v>20</v>
      </c>
      <c r="D16" s="3">
        <v>80.369878048780492</v>
      </c>
    </row>
    <row r="17" spans="1:4" x14ac:dyDescent="0.35">
      <c r="C17" s="6" t="s">
        <v>23</v>
      </c>
      <c r="D17" s="3">
        <v>79.606046511627909</v>
      </c>
    </row>
    <row r="18" spans="1:4" x14ac:dyDescent="0.35">
      <c r="A18" t="s">
        <v>277</v>
      </c>
      <c r="B18">
        <f>GETPIVOTDATA("[Measures].[Count of student_id]",$A$3)</f>
        <v>250</v>
      </c>
      <c r="C18" s="6" t="s">
        <v>12</v>
      </c>
      <c r="D18" s="3">
        <v>80.518292682926827</v>
      </c>
    </row>
    <row r="19" spans="1:4" x14ac:dyDescent="0.35">
      <c r="A19" t="s">
        <v>278</v>
      </c>
      <c r="B19" s="3">
        <f>GETPIVOTDATA("[Measures].[Average of science_score]",$A$6)</f>
        <v>69.831999999999994</v>
      </c>
      <c r="C19" s="6" t="s">
        <v>282</v>
      </c>
      <c r="D19" s="3">
        <v>80.155799999999999</v>
      </c>
    </row>
    <row r="20" spans="1:4" x14ac:dyDescent="0.35">
      <c r="A20" t="s">
        <v>279</v>
      </c>
      <c r="B20" s="3">
        <f>GETPIVOTDATA("[Measures].[Average of math_score]",$A$9)</f>
        <v>69.912000000000006</v>
      </c>
    </row>
    <row r="21" spans="1:4" x14ac:dyDescent="0.35">
      <c r="A21" t="s">
        <v>280</v>
      </c>
      <c r="B21" s="3">
        <f>GETPIVOTDATA("[Measures].[Average of english_score]",$A$12)</f>
        <v>69.819999999999993</v>
      </c>
      <c r="C21" s="5" t="s">
        <v>283</v>
      </c>
      <c r="D21" t="s">
        <v>284</v>
      </c>
    </row>
    <row r="22" spans="1:4" x14ac:dyDescent="0.35">
      <c r="A22" t="s">
        <v>281</v>
      </c>
      <c r="B22" s="3">
        <f>GETPIVOTDATA("[Measures].[Average of attendance_percent]",$A$15)</f>
        <v>80.155799999999999</v>
      </c>
      <c r="C22" s="6" t="s">
        <v>13</v>
      </c>
      <c r="D22" s="3">
        <v>80.95394366197182</v>
      </c>
    </row>
    <row r="23" spans="1:4" x14ac:dyDescent="0.35">
      <c r="C23" s="6" t="s">
        <v>16</v>
      </c>
      <c r="D23" s="3">
        <v>80.468135593220339</v>
      </c>
    </row>
    <row r="24" spans="1:4" x14ac:dyDescent="0.35">
      <c r="C24" s="6" t="s">
        <v>30</v>
      </c>
      <c r="D24" s="3">
        <v>78.496296296296293</v>
      </c>
    </row>
    <row r="25" spans="1:4" x14ac:dyDescent="0.35">
      <c r="C25" s="6" t="s">
        <v>24</v>
      </c>
      <c r="D25" s="3">
        <v>80.375757575757575</v>
      </c>
    </row>
    <row r="26" spans="1:4" x14ac:dyDescent="0.35">
      <c r="C26" s="6" t="s">
        <v>282</v>
      </c>
      <c r="D26" s="3">
        <v>80.155799999999999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workbookViewId="0">
      <selection activeCell="L20" sqref="L20"/>
    </sheetView>
  </sheetViews>
  <sheetFormatPr defaultRowHeight="14.5" x14ac:dyDescent="0.35"/>
  <cols>
    <col min="1" max="16384" width="8.7265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1"/>
  <sheetViews>
    <sheetView topLeftCell="A224" workbookViewId="0">
      <selection sqref="A1:I251"/>
    </sheetView>
  </sheetViews>
  <sheetFormatPr defaultRowHeight="14.5" x14ac:dyDescent="0.35"/>
  <cols>
    <col min="1" max="1" width="11.90625" customWidth="1"/>
    <col min="2" max="2" width="12.7265625" customWidth="1"/>
    <col min="3" max="3" width="14.26953125" customWidth="1"/>
    <col min="4" max="4" width="14.08984375" customWidth="1"/>
    <col min="5" max="5" width="19.81640625" customWidth="1"/>
    <col min="6" max="6" width="8.6328125" customWidth="1"/>
    <col min="7" max="7" width="12.36328125" customWidth="1"/>
    <col min="8" max="8" width="13.36328125" customWidth="1"/>
    <col min="9" max="9" width="16.08984375" customWidth="1"/>
  </cols>
  <sheetData>
    <row r="1" spans="1:10" x14ac:dyDescent="0.35">
      <c r="A1" t="s">
        <v>0</v>
      </c>
      <c r="B1" t="s">
        <v>1</v>
      </c>
      <c r="C1" t="s">
        <v>2</v>
      </c>
      <c r="D1" t="s">
        <v>3</v>
      </c>
      <c r="E1" t="s">
        <v>4</v>
      </c>
      <c r="F1" t="s">
        <v>5</v>
      </c>
      <c r="G1" t="s">
        <v>6</v>
      </c>
      <c r="H1" t="s">
        <v>7</v>
      </c>
      <c r="I1" t="s">
        <v>8</v>
      </c>
    </row>
    <row r="2" spans="1:10" x14ac:dyDescent="0.35">
      <c r="A2" t="s">
        <v>228</v>
      </c>
      <c r="B2">
        <v>85</v>
      </c>
      <c r="C2">
        <v>99</v>
      </c>
      <c r="D2">
        <v>47</v>
      </c>
      <c r="E2">
        <v>68.430000000000007</v>
      </c>
      <c r="F2" t="s">
        <v>10</v>
      </c>
      <c r="G2" t="s">
        <v>18</v>
      </c>
      <c r="H2" t="s">
        <v>23</v>
      </c>
      <c r="I2" t="s">
        <v>24</v>
      </c>
      <c r="J2" s="1"/>
    </row>
    <row r="3" spans="1:10" x14ac:dyDescent="0.35">
      <c r="A3" t="s">
        <v>229</v>
      </c>
      <c r="B3">
        <v>42</v>
      </c>
      <c r="C3">
        <v>63</v>
      </c>
      <c r="D3">
        <v>53</v>
      </c>
      <c r="E3">
        <v>76.849999999999994</v>
      </c>
      <c r="F3" t="s">
        <v>15</v>
      </c>
      <c r="G3" t="s">
        <v>18</v>
      </c>
      <c r="H3" t="s">
        <v>12</v>
      </c>
      <c r="I3" t="s">
        <v>24</v>
      </c>
      <c r="J3" s="1"/>
    </row>
    <row r="4" spans="1:10" x14ac:dyDescent="0.35">
      <c r="A4" t="s">
        <v>230</v>
      </c>
      <c r="B4">
        <v>68</v>
      </c>
      <c r="C4">
        <v>65</v>
      </c>
      <c r="D4">
        <v>96</v>
      </c>
      <c r="E4">
        <v>68.72</v>
      </c>
      <c r="F4" t="s">
        <v>10</v>
      </c>
      <c r="G4" t="s">
        <v>32</v>
      </c>
      <c r="H4" t="s">
        <v>20</v>
      </c>
      <c r="I4" t="s">
        <v>16</v>
      </c>
      <c r="J4" s="1"/>
    </row>
    <row r="5" spans="1:10" x14ac:dyDescent="0.35">
      <c r="A5" t="s">
        <v>231</v>
      </c>
      <c r="B5">
        <v>74</v>
      </c>
      <c r="C5">
        <v>67</v>
      </c>
      <c r="D5">
        <v>64</v>
      </c>
      <c r="E5">
        <v>93.83</v>
      </c>
      <c r="F5" t="s">
        <v>10</v>
      </c>
      <c r="G5" t="s">
        <v>22</v>
      </c>
      <c r="H5" t="s">
        <v>20</v>
      </c>
      <c r="I5" t="s">
        <v>24</v>
      </c>
      <c r="J5" s="1"/>
    </row>
    <row r="6" spans="1:10" x14ac:dyDescent="0.35">
      <c r="A6" t="s">
        <v>232</v>
      </c>
      <c r="B6">
        <v>78</v>
      </c>
      <c r="C6">
        <v>97</v>
      </c>
      <c r="D6">
        <v>71</v>
      </c>
      <c r="E6">
        <v>78.25</v>
      </c>
      <c r="F6" t="s">
        <v>15</v>
      </c>
      <c r="G6" t="s">
        <v>32</v>
      </c>
      <c r="H6" t="s">
        <v>23</v>
      </c>
      <c r="I6" t="s">
        <v>24</v>
      </c>
      <c r="J6" s="1"/>
    </row>
    <row r="7" spans="1:10" x14ac:dyDescent="0.35">
      <c r="A7" t="s">
        <v>233</v>
      </c>
      <c r="B7">
        <v>57</v>
      </c>
      <c r="C7">
        <v>86</v>
      </c>
      <c r="D7">
        <v>67</v>
      </c>
      <c r="E7">
        <v>71.19</v>
      </c>
      <c r="F7" t="s">
        <v>10</v>
      </c>
      <c r="G7" t="s">
        <v>18</v>
      </c>
      <c r="H7" t="s">
        <v>23</v>
      </c>
      <c r="I7" t="s">
        <v>13</v>
      </c>
      <c r="J7" s="1"/>
    </row>
    <row r="8" spans="1:10" x14ac:dyDescent="0.35">
      <c r="A8" t="s">
        <v>234</v>
      </c>
      <c r="B8">
        <v>59</v>
      </c>
      <c r="C8">
        <v>99</v>
      </c>
      <c r="D8">
        <v>41</v>
      </c>
      <c r="E8">
        <v>97.32</v>
      </c>
      <c r="F8" t="s">
        <v>10</v>
      </c>
      <c r="G8" t="s">
        <v>22</v>
      </c>
      <c r="H8" t="s">
        <v>12</v>
      </c>
      <c r="I8" t="s">
        <v>24</v>
      </c>
      <c r="J8" s="1"/>
    </row>
    <row r="9" spans="1:10" x14ac:dyDescent="0.35">
      <c r="A9" t="s">
        <v>235</v>
      </c>
      <c r="B9">
        <v>82</v>
      </c>
      <c r="C9">
        <v>43</v>
      </c>
      <c r="D9">
        <v>56</v>
      </c>
      <c r="E9">
        <v>72.569999999999993</v>
      </c>
      <c r="F9" t="s">
        <v>10</v>
      </c>
      <c r="G9" t="s">
        <v>18</v>
      </c>
      <c r="H9" t="s">
        <v>12</v>
      </c>
      <c r="I9" t="s">
        <v>24</v>
      </c>
      <c r="J9" s="1"/>
    </row>
    <row r="10" spans="1:10" x14ac:dyDescent="0.35">
      <c r="A10" t="s">
        <v>236</v>
      </c>
      <c r="B10">
        <v>99</v>
      </c>
      <c r="C10">
        <v>75</v>
      </c>
      <c r="D10">
        <v>66</v>
      </c>
      <c r="E10">
        <v>96.39</v>
      </c>
      <c r="F10" t="s">
        <v>15</v>
      </c>
      <c r="G10" t="s">
        <v>18</v>
      </c>
      <c r="H10" t="s">
        <v>23</v>
      </c>
      <c r="I10" t="s">
        <v>16</v>
      </c>
      <c r="J10" s="1"/>
    </row>
    <row r="11" spans="1:10" x14ac:dyDescent="0.35">
      <c r="A11" t="s">
        <v>237</v>
      </c>
      <c r="B11">
        <v>97</v>
      </c>
      <c r="C11">
        <v>54</v>
      </c>
      <c r="D11">
        <v>41</v>
      </c>
      <c r="E11">
        <v>61.74</v>
      </c>
      <c r="F11" t="s">
        <v>15</v>
      </c>
      <c r="G11" t="s">
        <v>11</v>
      </c>
      <c r="H11" t="s">
        <v>23</v>
      </c>
      <c r="I11" t="s">
        <v>16</v>
      </c>
      <c r="J11" s="1"/>
    </row>
    <row r="12" spans="1:10" x14ac:dyDescent="0.35">
      <c r="A12" t="s">
        <v>238</v>
      </c>
      <c r="B12">
        <v>62</v>
      </c>
      <c r="C12">
        <v>61</v>
      </c>
      <c r="D12">
        <v>47</v>
      </c>
      <c r="E12">
        <v>88.28</v>
      </c>
      <c r="F12" t="s">
        <v>10</v>
      </c>
      <c r="G12" t="s">
        <v>22</v>
      </c>
      <c r="H12" t="s">
        <v>23</v>
      </c>
      <c r="I12" t="s">
        <v>16</v>
      </c>
      <c r="J12" s="1"/>
    </row>
    <row r="13" spans="1:10" x14ac:dyDescent="0.35">
      <c r="A13" t="s">
        <v>239</v>
      </c>
      <c r="B13">
        <v>73</v>
      </c>
      <c r="C13">
        <v>99</v>
      </c>
      <c r="D13">
        <v>77</v>
      </c>
      <c r="E13">
        <v>79.36</v>
      </c>
      <c r="F13" t="s">
        <v>15</v>
      </c>
      <c r="G13" t="s">
        <v>18</v>
      </c>
      <c r="H13" t="s">
        <v>23</v>
      </c>
      <c r="I13" t="s">
        <v>24</v>
      </c>
      <c r="J13" s="1"/>
    </row>
    <row r="14" spans="1:10" x14ac:dyDescent="0.35">
      <c r="A14" t="s">
        <v>240</v>
      </c>
      <c r="B14">
        <v>72</v>
      </c>
      <c r="C14">
        <v>94</v>
      </c>
      <c r="D14">
        <v>59</v>
      </c>
      <c r="E14">
        <v>77.77</v>
      </c>
      <c r="F14" t="s">
        <v>10</v>
      </c>
      <c r="G14" t="s">
        <v>11</v>
      </c>
      <c r="H14" t="s">
        <v>20</v>
      </c>
      <c r="I14" t="s">
        <v>13</v>
      </c>
      <c r="J14" s="1"/>
    </row>
    <row r="15" spans="1:10" x14ac:dyDescent="0.35">
      <c r="A15" t="s">
        <v>241</v>
      </c>
      <c r="B15">
        <v>89</v>
      </c>
      <c r="C15">
        <v>88</v>
      </c>
      <c r="D15">
        <v>88</v>
      </c>
      <c r="E15">
        <v>61.45</v>
      </c>
      <c r="F15" t="s">
        <v>10</v>
      </c>
      <c r="G15" t="s">
        <v>11</v>
      </c>
      <c r="H15" t="s">
        <v>12</v>
      </c>
      <c r="I15" t="s">
        <v>30</v>
      </c>
      <c r="J15" s="1"/>
    </row>
    <row r="16" spans="1:10" x14ac:dyDescent="0.35">
      <c r="A16" t="s">
        <v>242</v>
      </c>
      <c r="B16">
        <v>87</v>
      </c>
      <c r="C16">
        <v>96</v>
      </c>
      <c r="D16">
        <v>76</v>
      </c>
      <c r="E16">
        <v>61.63</v>
      </c>
      <c r="F16" t="s">
        <v>15</v>
      </c>
      <c r="G16" t="s">
        <v>11</v>
      </c>
      <c r="H16" t="s">
        <v>12</v>
      </c>
      <c r="I16" t="s">
        <v>16</v>
      </c>
      <c r="J16" s="1"/>
    </row>
    <row r="17" spans="1:10" x14ac:dyDescent="0.35">
      <c r="A17" t="s">
        <v>243</v>
      </c>
      <c r="B17">
        <v>49</v>
      </c>
      <c r="C17">
        <v>63</v>
      </c>
      <c r="D17">
        <v>96</v>
      </c>
      <c r="E17">
        <v>73.31</v>
      </c>
      <c r="F17" t="s">
        <v>10</v>
      </c>
      <c r="G17" t="s">
        <v>18</v>
      </c>
      <c r="H17" t="s">
        <v>12</v>
      </c>
      <c r="I17" t="s">
        <v>13</v>
      </c>
      <c r="J17" s="1"/>
    </row>
    <row r="18" spans="1:10" x14ac:dyDescent="0.35">
      <c r="A18" t="s">
        <v>244</v>
      </c>
      <c r="B18">
        <v>72</v>
      </c>
      <c r="C18">
        <v>63</v>
      </c>
      <c r="D18">
        <v>60</v>
      </c>
      <c r="E18">
        <v>97.88</v>
      </c>
      <c r="F18" t="s">
        <v>15</v>
      </c>
      <c r="G18" t="s">
        <v>11</v>
      </c>
      <c r="H18" t="s">
        <v>12</v>
      </c>
      <c r="I18" t="s">
        <v>24</v>
      </c>
      <c r="J18" s="1"/>
    </row>
    <row r="19" spans="1:10" x14ac:dyDescent="0.35">
      <c r="A19" t="s">
        <v>245</v>
      </c>
      <c r="B19">
        <v>86</v>
      </c>
      <c r="C19">
        <v>76</v>
      </c>
      <c r="D19">
        <v>65</v>
      </c>
      <c r="E19">
        <v>84.71</v>
      </c>
      <c r="F19" t="s">
        <v>10</v>
      </c>
      <c r="G19" t="s">
        <v>11</v>
      </c>
      <c r="H19" t="s">
        <v>12</v>
      </c>
      <c r="I19" t="s">
        <v>16</v>
      </c>
      <c r="J19" s="1"/>
    </row>
    <row r="20" spans="1:10" x14ac:dyDescent="0.35">
      <c r="A20" t="s">
        <v>246</v>
      </c>
      <c r="B20">
        <v>72</v>
      </c>
      <c r="C20">
        <v>44</v>
      </c>
      <c r="D20">
        <v>70</v>
      </c>
      <c r="E20">
        <v>74.75</v>
      </c>
      <c r="F20" t="s">
        <v>15</v>
      </c>
      <c r="G20" t="s">
        <v>32</v>
      </c>
      <c r="H20" t="s">
        <v>20</v>
      </c>
      <c r="I20" t="s">
        <v>13</v>
      </c>
      <c r="J20" s="1"/>
    </row>
    <row r="21" spans="1:10" x14ac:dyDescent="0.35">
      <c r="A21" t="s">
        <v>247</v>
      </c>
      <c r="B21">
        <v>87</v>
      </c>
      <c r="C21">
        <v>45</v>
      </c>
      <c r="D21">
        <v>59</v>
      </c>
      <c r="E21">
        <v>84.48</v>
      </c>
      <c r="F21" t="s">
        <v>10</v>
      </c>
      <c r="G21" t="s">
        <v>18</v>
      </c>
      <c r="H21" t="s">
        <v>20</v>
      </c>
      <c r="I21" t="s">
        <v>30</v>
      </c>
      <c r="J21" s="1"/>
    </row>
    <row r="22" spans="1:10" x14ac:dyDescent="0.35">
      <c r="A22" t="s">
        <v>248</v>
      </c>
      <c r="B22">
        <v>65</v>
      </c>
      <c r="C22">
        <v>88</v>
      </c>
      <c r="D22">
        <v>45</v>
      </c>
      <c r="E22">
        <v>68.25</v>
      </c>
      <c r="F22" t="s">
        <v>10</v>
      </c>
      <c r="G22" t="s">
        <v>18</v>
      </c>
      <c r="H22" t="s">
        <v>23</v>
      </c>
      <c r="I22" t="s">
        <v>13</v>
      </c>
      <c r="J22" s="1"/>
    </row>
    <row r="23" spans="1:10" x14ac:dyDescent="0.35">
      <c r="A23" t="s">
        <v>249</v>
      </c>
      <c r="B23">
        <v>59</v>
      </c>
      <c r="C23">
        <v>96</v>
      </c>
      <c r="D23">
        <v>89</v>
      </c>
      <c r="E23">
        <v>66.599999999999994</v>
      </c>
      <c r="F23" t="s">
        <v>15</v>
      </c>
      <c r="G23" t="s">
        <v>11</v>
      </c>
      <c r="H23" t="s">
        <v>12</v>
      </c>
      <c r="I23" t="s">
        <v>24</v>
      </c>
      <c r="J23" s="1"/>
    </row>
    <row r="24" spans="1:10" x14ac:dyDescent="0.35">
      <c r="A24" t="s">
        <v>250</v>
      </c>
      <c r="B24">
        <v>54</v>
      </c>
      <c r="C24">
        <v>100</v>
      </c>
      <c r="D24">
        <v>54</v>
      </c>
      <c r="E24">
        <v>74.47</v>
      </c>
      <c r="F24" t="s">
        <v>10</v>
      </c>
      <c r="G24" t="s">
        <v>32</v>
      </c>
      <c r="H24" t="s">
        <v>12</v>
      </c>
      <c r="I24" t="s">
        <v>16</v>
      </c>
      <c r="J24" s="1"/>
    </row>
    <row r="25" spans="1:10" x14ac:dyDescent="0.35">
      <c r="A25" t="s">
        <v>251</v>
      </c>
      <c r="B25">
        <v>76</v>
      </c>
      <c r="C25">
        <v>49</v>
      </c>
      <c r="D25">
        <v>96</v>
      </c>
      <c r="E25">
        <v>94.53</v>
      </c>
      <c r="F25" t="s">
        <v>15</v>
      </c>
      <c r="G25" t="s">
        <v>11</v>
      </c>
      <c r="H25" t="s">
        <v>20</v>
      </c>
      <c r="I25" t="s">
        <v>13</v>
      </c>
      <c r="J25" s="1"/>
    </row>
    <row r="26" spans="1:10" x14ac:dyDescent="0.35">
      <c r="A26" t="s">
        <v>252</v>
      </c>
      <c r="B26">
        <v>72</v>
      </c>
      <c r="C26">
        <v>42</v>
      </c>
      <c r="D26">
        <v>40</v>
      </c>
      <c r="E26">
        <v>80.38</v>
      </c>
      <c r="F26" t="s">
        <v>10</v>
      </c>
      <c r="G26" t="s">
        <v>18</v>
      </c>
      <c r="H26" t="s">
        <v>12</v>
      </c>
      <c r="I26" t="s">
        <v>13</v>
      </c>
      <c r="J26" s="1"/>
    </row>
    <row r="27" spans="1:10" x14ac:dyDescent="0.35">
      <c r="A27" t="s">
        <v>253</v>
      </c>
      <c r="B27">
        <v>56</v>
      </c>
      <c r="C27">
        <v>77</v>
      </c>
      <c r="D27">
        <v>65</v>
      </c>
      <c r="E27">
        <v>71.88</v>
      </c>
      <c r="F27" t="s">
        <v>15</v>
      </c>
      <c r="G27" t="s">
        <v>32</v>
      </c>
      <c r="H27" t="s">
        <v>23</v>
      </c>
      <c r="I27" t="s">
        <v>13</v>
      </c>
      <c r="J27" s="1"/>
    </row>
    <row r="28" spans="1:10" x14ac:dyDescent="0.35">
      <c r="A28" t="s">
        <v>254</v>
      </c>
      <c r="B28">
        <v>44</v>
      </c>
      <c r="C28">
        <v>73</v>
      </c>
      <c r="D28">
        <v>68</v>
      </c>
      <c r="E28">
        <v>98.01</v>
      </c>
      <c r="F28" t="s">
        <v>10</v>
      </c>
      <c r="G28" t="s">
        <v>32</v>
      </c>
      <c r="H28" t="s">
        <v>12</v>
      </c>
      <c r="I28" t="s">
        <v>16</v>
      </c>
      <c r="J28" s="1"/>
    </row>
    <row r="29" spans="1:10" x14ac:dyDescent="0.35">
      <c r="A29" t="s">
        <v>255</v>
      </c>
      <c r="B29">
        <v>89</v>
      </c>
      <c r="C29">
        <v>45</v>
      </c>
      <c r="D29">
        <v>41</v>
      </c>
      <c r="E29">
        <v>92.64</v>
      </c>
      <c r="F29" t="s">
        <v>15</v>
      </c>
      <c r="G29" t="s">
        <v>11</v>
      </c>
      <c r="H29" t="s">
        <v>12</v>
      </c>
      <c r="I29" t="s">
        <v>13</v>
      </c>
      <c r="J29" s="1"/>
    </row>
    <row r="30" spans="1:10" x14ac:dyDescent="0.35">
      <c r="A30" t="s">
        <v>256</v>
      </c>
      <c r="B30">
        <v>95</v>
      </c>
      <c r="C30">
        <v>100</v>
      </c>
      <c r="D30">
        <v>61</v>
      </c>
      <c r="E30">
        <v>72.92</v>
      </c>
      <c r="F30" t="s">
        <v>10</v>
      </c>
      <c r="G30" t="s">
        <v>32</v>
      </c>
      <c r="H30" t="s">
        <v>12</v>
      </c>
      <c r="I30" t="s">
        <v>24</v>
      </c>
      <c r="J30" s="1"/>
    </row>
    <row r="31" spans="1:10" x14ac:dyDescent="0.35">
      <c r="A31" t="s">
        <v>257</v>
      </c>
      <c r="B31">
        <v>43</v>
      </c>
      <c r="C31">
        <v>49</v>
      </c>
      <c r="D31">
        <v>100</v>
      </c>
      <c r="E31">
        <v>98.88</v>
      </c>
      <c r="F31" t="s">
        <v>10</v>
      </c>
      <c r="G31" t="s">
        <v>22</v>
      </c>
      <c r="H31" t="s">
        <v>23</v>
      </c>
      <c r="I31" t="s">
        <v>24</v>
      </c>
      <c r="J31" s="1"/>
    </row>
    <row r="32" spans="1:10" x14ac:dyDescent="0.35">
      <c r="A32" t="s">
        <v>258</v>
      </c>
      <c r="B32">
        <v>42</v>
      </c>
      <c r="C32">
        <v>55</v>
      </c>
      <c r="D32">
        <v>99</v>
      </c>
      <c r="E32">
        <v>99.49</v>
      </c>
      <c r="F32" t="s">
        <v>15</v>
      </c>
      <c r="G32" t="s">
        <v>18</v>
      </c>
      <c r="H32" t="s">
        <v>23</v>
      </c>
      <c r="I32" t="s">
        <v>30</v>
      </c>
      <c r="J32" s="1"/>
    </row>
    <row r="33" spans="1:10" x14ac:dyDescent="0.35">
      <c r="A33" t="s">
        <v>259</v>
      </c>
      <c r="B33">
        <v>60</v>
      </c>
      <c r="C33">
        <v>99</v>
      </c>
      <c r="D33">
        <v>68</v>
      </c>
      <c r="E33">
        <v>76.349999999999994</v>
      </c>
      <c r="F33" t="s">
        <v>15</v>
      </c>
      <c r="G33" t="s">
        <v>32</v>
      </c>
      <c r="H33" t="s">
        <v>20</v>
      </c>
      <c r="I33" t="s">
        <v>30</v>
      </c>
      <c r="J33" s="1"/>
    </row>
    <row r="34" spans="1:10" x14ac:dyDescent="0.35">
      <c r="A34" t="s">
        <v>260</v>
      </c>
      <c r="B34">
        <v>79</v>
      </c>
      <c r="C34">
        <v>68</v>
      </c>
      <c r="D34">
        <v>48</v>
      </c>
      <c r="E34">
        <v>86.24</v>
      </c>
      <c r="F34" t="s">
        <v>10</v>
      </c>
      <c r="G34" t="s">
        <v>32</v>
      </c>
      <c r="H34" t="s">
        <v>12</v>
      </c>
      <c r="I34" t="s">
        <v>30</v>
      </c>
      <c r="J34" s="1"/>
    </row>
    <row r="35" spans="1:10" x14ac:dyDescent="0.35">
      <c r="A35" t="s">
        <v>261</v>
      </c>
      <c r="B35">
        <v>42</v>
      </c>
      <c r="C35">
        <v>42</v>
      </c>
      <c r="D35">
        <v>80</v>
      </c>
      <c r="E35">
        <v>76.23</v>
      </c>
      <c r="F35" t="s">
        <v>10</v>
      </c>
      <c r="G35" t="s">
        <v>32</v>
      </c>
      <c r="H35" t="s">
        <v>20</v>
      </c>
      <c r="I35" t="s">
        <v>16</v>
      </c>
      <c r="J35" s="1"/>
    </row>
    <row r="36" spans="1:10" x14ac:dyDescent="0.35">
      <c r="A36" t="s">
        <v>262</v>
      </c>
      <c r="B36">
        <v>60</v>
      </c>
      <c r="C36">
        <v>50</v>
      </c>
      <c r="D36">
        <v>60</v>
      </c>
      <c r="E36">
        <v>70.290000000000006</v>
      </c>
      <c r="F36" t="s">
        <v>15</v>
      </c>
      <c r="G36" t="s">
        <v>22</v>
      </c>
      <c r="H36" t="s">
        <v>23</v>
      </c>
      <c r="I36" t="s">
        <v>24</v>
      </c>
      <c r="J36" s="1"/>
    </row>
    <row r="37" spans="1:10" x14ac:dyDescent="0.35">
      <c r="A37" t="s">
        <v>263</v>
      </c>
      <c r="B37">
        <v>87</v>
      </c>
      <c r="C37">
        <v>76</v>
      </c>
      <c r="D37">
        <v>94</v>
      </c>
      <c r="E37">
        <v>63.31</v>
      </c>
      <c r="F37" t="s">
        <v>10</v>
      </c>
      <c r="G37" t="s">
        <v>11</v>
      </c>
      <c r="H37" t="s">
        <v>23</v>
      </c>
      <c r="I37" t="s">
        <v>24</v>
      </c>
      <c r="J37" s="1"/>
    </row>
    <row r="38" spans="1:10" x14ac:dyDescent="0.35">
      <c r="A38" t="s">
        <v>264</v>
      </c>
      <c r="B38">
        <v>96</v>
      </c>
      <c r="C38">
        <v>43</v>
      </c>
      <c r="D38">
        <v>96</v>
      </c>
      <c r="E38">
        <v>70.540000000000006</v>
      </c>
      <c r="F38" t="s">
        <v>10</v>
      </c>
      <c r="G38" t="s">
        <v>11</v>
      </c>
      <c r="H38" t="s">
        <v>12</v>
      </c>
      <c r="I38" t="s">
        <v>30</v>
      </c>
      <c r="J38" s="1"/>
    </row>
    <row r="39" spans="1:10" x14ac:dyDescent="0.35">
      <c r="A39" t="s">
        <v>265</v>
      </c>
      <c r="B39">
        <v>88</v>
      </c>
      <c r="C39">
        <v>88</v>
      </c>
      <c r="D39">
        <v>71</v>
      </c>
      <c r="E39">
        <v>70.86</v>
      </c>
      <c r="F39" t="s">
        <v>15</v>
      </c>
      <c r="G39" t="s">
        <v>18</v>
      </c>
      <c r="H39" t="s">
        <v>20</v>
      </c>
      <c r="I39" t="s">
        <v>30</v>
      </c>
      <c r="J39" s="1"/>
    </row>
    <row r="40" spans="1:10" x14ac:dyDescent="0.35">
      <c r="A40" t="s">
        <v>266</v>
      </c>
      <c r="B40">
        <v>47</v>
      </c>
      <c r="C40">
        <v>43</v>
      </c>
      <c r="D40">
        <v>71</v>
      </c>
      <c r="E40">
        <v>75.95</v>
      </c>
      <c r="F40" t="s">
        <v>10</v>
      </c>
      <c r="G40" t="s">
        <v>18</v>
      </c>
      <c r="H40" t="s">
        <v>23</v>
      </c>
      <c r="I40" t="s">
        <v>13</v>
      </c>
      <c r="J40" s="1"/>
    </row>
    <row r="41" spans="1:10" x14ac:dyDescent="0.35">
      <c r="A41" t="s">
        <v>267</v>
      </c>
      <c r="B41">
        <v>81</v>
      </c>
      <c r="C41">
        <v>63</v>
      </c>
      <c r="D41">
        <v>86</v>
      </c>
      <c r="E41">
        <v>67.400000000000006</v>
      </c>
      <c r="F41" t="s">
        <v>10</v>
      </c>
      <c r="G41" t="s">
        <v>18</v>
      </c>
      <c r="H41" t="s">
        <v>23</v>
      </c>
      <c r="I41" t="s">
        <v>30</v>
      </c>
      <c r="J41" s="1"/>
    </row>
    <row r="42" spans="1:10" x14ac:dyDescent="0.35">
      <c r="A42" t="s">
        <v>268</v>
      </c>
      <c r="B42">
        <v>75</v>
      </c>
      <c r="C42">
        <v>67</v>
      </c>
      <c r="D42">
        <v>83</v>
      </c>
      <c r="E42">
        <v>98.15</v>
      </c>
      <c r="F42" t="s">
        <v>10</v>
      </c>
      <c r="G42" t="s">
        <v>32</v>
      </c>
      <c r="H42" t="s">
        <v>20</v>
      </c>
      <c r="I42" t="s">
        <v>16</v>
      </c>
      <c r="J42" s="1"/>
    </row>
    <row r="43" spans="1:10" x14ac:dyDescent="0.35">
      <c r="A43" t="s">
        <v>269</v>
      </c>
      <c r="B43">
        <v>100</v>
      </c>
      <c r="C43">
        <v>95</v>
      </c>
      <c r="D43">
        <v>79</v>
      </c>
      <c r="E43">
        <v>64.12</v>
      </c>
      <c r="F43" t="s">
        <v>15</v>
      </c>
      <c r="G43" t="s">
        <v>18</v>
      </c>
      <c r="H43" t="s">
        <v>20</v>
      </c>
      <c r="I43" t="s">
        <v>30</v>
      </c>
      <c r="J43" s="1"/>
    </row>
    <row r="44" spans="1:10" x14ac:dyDescent="0.35">
      <c r="A44" t="s">
        <v>270</v>
      </c>
      <c r="B44">
        <v>68</v>
      </c>
      <c r="C44">
        <v>74</v>
      </c>
      <c r="D44">
        <v>65</v>
      </c>
      <c r="E44">
        <v>85.01</v>
      </c>
      <c r="F44" t="s">
        <v>15</v>
      </c>
      <c r="G44" t="s">
        <v>32</v>
      </c>
      <c r="H44" t="s">
        <v>23</v>
      </c>
      <c r="I44" t="s">
        <v>24</v>
      </c>
      <c r="J44" s="1"/>
    </row>
    <row r="45" spans="1:10" x14ac:dyDescent="0.35">
      <c r="A45" t="s">
        <v>271</v>
      </c>
      <c r="B45">
        <v>92</v>
      </c>
      <c r="C45">
        <v>77</v>
      </c>
      <c r="D45">
        <v>87</v>
      </c>
      <c r="E45">
        <v>77.67</v>
      </c>
      <c r="F45" t="s">
        <v>15</v>
      </c>
      <c r="G45" t="s">
        <v>18</v>
      </c>
      <c r="H45" t="s">
        <v>12</v>
      </c>
      <c r="I45" t="s">
        <v>16</v>
      </c>
      <c r="J45" s="1"/>
    </row>
    <row r="46" spans="1:10" x14ac:dyDescent="0.35">
      <c r="A46" t="s">
        <v>9</v>
      </c>
      <c r="B46">
        <v>78</v>
      </c>
      <c r="C46">
        <v>89</v>
      </c>
      <c r="D46">
        <v>52</v>
      </c>
      <c r="E46">
        <v>76.94</v>
      </c>
      <c r="F46" t="s">
        <v>10</v>
      </c>
      <c r="G46" t="s">
        <v>11</v>
      </c>
      <c r="H46" t="s">
        <v>12</v>
      </c>
      <c r="I46" t="s">
        <v>13</v>
      </c>
      <c r="J46" s="1"/>
    </row>
    <row r="47" spans="1:10" x14ac:dyDescent="0.35">
      <c r="A47" t="s">
        <v>14</v>
      </c>
      <c r="B47">
        <v>73</v>
      </c>
      <c r="C47">
        <v>63</v>
      </c>
      <c r="D47">
        <v>42</v>
      </c>
      <c r="E47">
        <v>74.88</v>
      </c>
      <c r="F47" t="s">
        <v>15</v>
      </c>
      <c r="G47" t="s">
        <v>11</v>
      </c>
      <c r="H47" t="s">
        <v>12</v>
      </c>
      <c r="I47" t="s">
        <v>16</v>
      </c>
      <c r="J47" s="1"/>
    </row>
    <row r="48" spans="1:10" x14ac:dyDescent="0.35">
      <c r="A48" t="s">
        <v>17</v>
      </c>
      <c r="B48">
        <v>61</v>
      </c>
      <c r="C48">
        <v>61</v>
      </c>
      <c r="D48">
        <v>71</v>
      </c>
      <c r="E48">
        <v>94.73</v>
      </c>
      <c r="F48" t="s">
        <v>15</v>
      </c>
      <c r="G48" t="s">
        <v>18</v>
      </c>
      <c r="H48" t="s">
        <v>12</v>
      </c>
      <c r="I48" t="s">
        <v>13</v>
      </c>
      <c r="J48" s="1"/>
    </row>
    <row r="49" spans="1:10" x14ac:dyDescent="0.35">
      <c r="A49" t="s">
        <v>19</v>
      </c>
      <c r="B49">
        <v>94</v>
      </c>
      <c r="C49">
        <v>65</v>
      </c>
      <c r="D49">
        <v>72</v>
      </c>
      <c r="E49">
        <v>71.22</v>
      </c>
      <c r="F49" t="s">
        <v>10</v>
      </c>
      <c r="G49" t="s">
        <v>18</v>
      </c>
      <c r="H49" t="s">
        <v>20</v>
      </c>
      <c r="I49" t="s">
        <v>13</v>
      </c>
      <c r="J49" s="1"/>
    </row>
    <row r="50" spans="1:10" x14ac:dyDescent="0.35">
      <c r="A50" t="s">
        <v>21</v>
      </c>
      <c r="B50">
        <v>70</v>
      </c>
      <c r="C50">
        <v>57</v>
      </c>
      <c r="D50">
        <v>72</v>
      </c>
      <c r="E50">
        <v>60.82</v>
      </c>
      <c r="F50" t="s">
        <v>15</v>
      </c>
      <c r="G50" t="s">
        <v>22</v>
      </c>
      <c r="H50" t="s">
        <v>23</v>
      </c>
      <c r="I50" t="s">
        <v>24</v>
      </c>
      <c r="J50" s="1"/>
    </row>
    <row r="51" spans="1:10" x14ac:dyDescent="0.35">
      <c r="A51" t="s">
        <v>25</v>
      </c>
      <c r="B51">
        <v>67</v>
      </c>
      <c r="C51">
        <v>98</v>
      </c>
      <c r="D51">
        <v>81</v>
      </c>
      <c r="E51">
        <v>96.72</v>
      </c>
      <c r="F51" t="s">
        <v>15</v>
      </c>
      <c r="G51" t="s">
        <v>22</v>
      </c>
      <c r="H51" t="s">
        <v>23</v>
      </c>
      <c r="I51" t="s">
        <v>16</v>
      </c>
      <c r="J51" s="1"/>
    </row>
    <row r="52" spans="1:10" x14ac:dyDescent="0.35">
      <c r="A52" t="s">
        <v>26</v>
      </c>
      <c r="B52">
        <v>74</v>
      </c>
      <c r="C52">
        <v>42</v>
      </c>
      <c r="D52">
        <v>81</v>
      </c>
      <c r="E52">
        <v>94.58</v>
      </c>
      <c r="F52" t="s">
        <v>10</v>
      </c>
      <c r="G52" t="s">
        <v>18</v>
      </c>
      <c r="H52" t="s">
        <v>12</v>
      </c>
      <c r="I52" t="s">
        <v>13</v>
      </c>
      <c r="J52" s="1"/>
    </row>
    <row r="53" spans="1:10" x14ac:dyDescent="0.35">
      <c r="A53" t="s">
        <v>27</v>
      </c>
      <c r="B53">
        <v>73</v>
      </c>
      <c r="C53">
        <v>85</v>
      </c>
      <c r="D53">
        <v>52</v>
      </c>
      <c r="E53">
        <v>71.08</v>
      </c>
      <c r="F53" t="s">
        <v>10</v>
      </c>
      <c r="G53" t="s">
        <v>18</v>
      </c>
      <c r="H53" t="s">
        <v>23</v>
      </c>
      <c r="I53" t="s">
        <v>16</v>
      </c>
      <c r="J53" s="1"/>
    </row>
    <row r="54" spans="1:10" x14ac:dyDescent="0.35">
      <c r="A54" t="s">
        <v>28</v>
      </c>
      <c r="B54">
        <v>52</v>
      </c>
      <c r="C54">
        <v>50</v>
      </c>
      <c r="D54">
        <v>82</v>
      </c>
      <c r="E54">
        <v>80.94</v>
      </c>
      <c r="F54" t="s">
        <v>10</v>
      </c>
      <c r="G54" t="s">
        <v>18</v>
      </c>
      <c r="H54" t="s">
        <v>20</v>
      </c>
      <c r="I54" t="s">
        <v>13</v>
      </c>
      <c r="J54" s="1"/>
    </row>
    <row r="55" spans="1:10" x14ac:dyDescent="0.35">
      <c r="A55" t="s">
        <v>29</v>
      </c>
      <c r="B55">
        <v>80</v>
      </c>
      <c r="C55">
        <v>48</v>
      </c>
      <c r="D55">
        <v>45</v>
      </c>
      <c r="E55">
        <v>64.36</v>
      </c>
      <c r="F55" t="s">
        <v>15</v>
      </c>
      <c r="G55" t="s">
        <v>18</v>
      </c>
      <c r="H55" t="s">
        <v>23</v>
      </c>
      <c r="I55" t="s">
        <v>30</v>
      </c>
      <c r="J55" s="1"/>
    </row>
    <row r="56" spans="1:10" x14ac:dyDescent="0.35">
      <c r="A56" t="s">
        <v>31</v>
      </c>
      <c r="B56">
        <v>43</v>
      </c>
      <c r="C56">
        <v>93</v>
      </c>
      <c r="D56">
        <v>43</v>
      </c>
      <c r="E56">
        <v>63.74</v>
      </c>
      <c r="F56" t="s">
        <v>15</v>
      </c>
      <c r="G56" t="s">
        <v>32</v>
      </c>
      <c r="H56" t="s">
        <v>23</v>
      </c>
      <c r="I56" t="s">
        <v>30</v>
      </c>
      <c r="J56" s="1"/>
    </row>
    <row r="57" spans="1:10" x14ac:dyDescent="0.35">
      <c r="A57" t="s">
        <v>33</v>
      </c>
      <c r="B57">
        <v>82</v>
      </c>
      <c r="C57">
        <v>72</v>
      </c>
      <c r="D57">
        <v>77</v>
      </c>
      <c r="E57">
        <v>93.5</v>
      </c>
      <c r="F57" t="s">
        <v>15</v>
      </c>
      <c r="G57" t="s">
        <v>22</v>
      </c>
      <c r="H57" t="s">
        <v>23</v>
      </c>
      <c r="I57" t="s">
        <v>16</v>
      </c>
      <c r="J57" s="1"/>
    </row>
    <row r="58" spans="1:10" x14ac:dyDescent="0.35">
      <c r="A58" t="s">
        <v>34</v>
      </c>
      <c r="B58">
        <v>45</v>
      </c>
      <c r="C58">
        <v>65</v>
      </c>
      <c r="D58">
        <v>45</v>
      </c>
      <c r="E58">
        <v>76.41</v>
      </c>
      <c r="F58" t="s">
        <v>15</v>
      </c>
      <c r="G58" t="s">
        <v>18</v>
      </c>
      <c r="H58" t="s">
        <v>12</v>
      </c>
      <c r="I58" t="s">
        <v>16</v>
      </c>
      <c r="J58" s="1"/>
    </row>
    <row r="59" spans="1:10" x14ac:dyDescent="0.35">
      <c r="A59" t="s">
        <v>35</v>
      </c>
      <c r="B59">
        <v>40</v>
      </c>
      <c r="C59">
        <v>75</v>
      </c>
      <c r="D59">
        <v>90</v>
      </c>
      <c r="E59">
        <v>86.47</v>
      </c>
      <c r="F59" t="s">
        <v>15</v>
      </c>
      <c r="G59" t="s">
        <v>11</v>
      </c>
      <c r="H59" t="s">
        <v>12</v>
      </c>
      <c r="I59" t="s">
        <v>13</v>
      </c>
      <c r="J59" s="1"/>
    </row>
    <row r="60" spans="1:10" x14ac:dyDescent="0.35">
      <c r="A60" t="s">
        <v>36</v>
      </c>
      <c r="B60">
        <v>51</v>
      </c>
      <c r="C60">
        <v>43</v>
      </c>
      <c r="D60">
        <v>42</v>
      </c>
      <c r="E60">
        <v>97.73</v>
      </c>
      <c r="F60" t="s">
        <v>15</v>
      </c>
      <c r="G60" t="s">
        <v>22</v>
      </c>
      <c r="H60" t="s">
        <v>23</v>
      </c>
      <c r="I60" t="s">
        <v>13</v>
      </c>
      <c r="J60" s="1"/>
    </row>
    <row r="61" spans="1:10" x14ac:dyDescent="0.35">
      <c r="A61" t="s">
        <v>37</v>
      </c>
      <c r="B61">
        <v>74</v>
      </c>
      <c r="C61">
        <v>91</v>
      </c>
      <c r="D61">
        <v>66</v>
      </c>
      <c r="E61">
        <v>69.81</v>
      </c>
      <c r="F61" t="s">
        <v>10</v>
      </c>
      <c r="G61" t="s">
        <v>32</v>
      </c>
      <c r="H61" t="s">
        <v>20</v>
      </c>
      <c r="I61" t="s">
        <v>13</v>
      </c>
      <c r="J61" s="1"/>
    </row>
    <row r="62" spans="1:10" x14ac:dyDescent="0.35">
      <c r="A62" t="s">
        <v>38</v>
      </c>
      <c r="B62">
        <v>98</v>
      </c>
      <c r="C62">
        <v>41</v>
      </c>
      <c r="D62">
        <v>79</v>
      </c>
      <c r="E62">
        <v>60.53</v>
      </c>
      <c r="F62" t="s">
        <v>10</v>
      </c>
      <c r="G62" t="s">
        <v>11</v>
      </c>
      <c r="H62" t="s">
        <v>23</v>
      </c>
      <c r="I62" t="s">
        <v>24</v>
      </c>
      <c r="J62" s="1"/>
    </row>
    <row r="63" spans="1:10" x14ac:dyDescent="0.35">
      <c r="A63" t="s">
        <v>39</v>
      </c>
      <c r="B63">
        <v>50</v>
      </c>
      <c r="C63">
        <v>47</v>
      </c>
      <c r="D63">
        <v>59</v>
      </c>
      <c r="E63">
        <v>60.97</v>
      </c>
      <c r="F63" t="s">
        <v>10</v>
      </c>
      <c r="G63" t="s">
        <v>22</v>
      </c>
      <c r="H63" t="s">
        <v>20</v>
      </c>
      <c r="I63" t="s">
        <v>24</v>
      </c>
      <c r="J63" s="1"/>
    </row>
    <row r="64" spans="1:10" x14ac:dyDescent="0.35">
      <c r="A64" t="s">
        <v>40</v>
      </c>
      <c r="B64">
        <v>62</v>
      </c>
      <c r="C64">
        <v>46</v>
      </c>
      <c r="D64">
        <v>57</v>
      </c>
      <c r="E64">
        <v>88.38</v>
      </c>
      <c r="F64" t="s">
        <v>10</v>
      </c>
      <c r="G64" t="s">
        <v>18</v>
      </c>
      <c r="H64" t="s">
        <v>20</v>
      </c>
      <c r="I64" t="s">
        <v>16</v>
      </c>
      <c r="J64" s="1"/>
    </row>
    <row r="65" spans="1:10" x14ac:dyDescent="0.35">
      <c r="A65" t="s">
        <v>41</v>
      </c>
      <c r="B65">
        <v>53</v>
      </c>
      <c r="C65">
        <v>75</v>
      </c>
      <c r="D65">
        <v>59</v>
      </c>
      <c r="E65">
        <v>96.98</v>
      </c>
      <c r="F65" t="s">
        <v>15</v>
      </c>
      <c r="G65" t="s">
        <v>18</v>
      </c>
      <c r="H65" t="s">
        <v>20</v>
      </c>
      <c r="I65" t="s">
        <v>16</v>
      </c>
      <c r="J65" s="1"/>
    </row>
    <row r="66" spans="1:10" x14ac:dyDescent="0.35">
      <c r="A66" t="s">
        <v>42</v>
      </c>
      <c r="B66">
        <v>58</v>
      </c>
      <c r="C66">
        <v>73</v>
      </c>
      <c r="D66">
        <v>69</v>
      </c>
      <c r="E66">
        <v>78.69</v>
      </c>
      <c r="F66" t="s">
        <v>10</v>
      </c>
      <c r="G66" t="s">
        <v>32</v>
      </c>
      <c r="H66" t="s">
        <v>20</v>
      </c>
      <c r="I66" t="s">
        <v>30</v>
      </c>
      <c r="J66" s="1"/>
    </row>
    <row r="67" spans="1:10" x14ac:dyDescent="0.35">
      <c r="A67" t="s">
        <v>43</v>
      </c>
      <c r="B67">
        <v>76</v>
      </c>
      <c r="C67">
        <v>79</v>
      </c>
      <c r="D67">
        <v>49</v>
      </c>
      <c r="E67">
        <v>75</v>
      </c>
      <c r="F67" t="s">
        <v>10</v>
      </c>
      <c r="G67" t="s">
        <v>18</v>
      </c>
      <c r="H67" t="s">
        <v>12</v>
      </c>
      <c r="I67" t="s">
        <v>30</v>
      </c>
      <c r="J67" s="1"/>
    </row>
    <row r="68" spans="1:10" x14ac:dyDescent="0.35">
      <c r="A68" t="s">
        <v>44</v>
      </c>
      <c r="B68">
        <v>55</v>
      </c>
      <c r="C68">
        <v>58</v>
      </c>
      <c r="D68">
        <v>91</v>
      </c>
      <c r="E68">
        <v>81.709999999999994</v>
      </c>
      <c r="F68" t="s">
        <v>10</v>
      </c>
      <c r="G68" t="s">
        <v>18</v>
      </c>
      <c r="H68" t="s">
        <v>23</v>
      </c>
      <c r="I68" t="s">
        <v>16</v>
      </c>
      <c r="J68" s="1"/>
    </row>
    <row r="69" spans="1:10" x14ac:dyDescent="0.35">
      <c r="A69" t="s">
        <v>45</v>
      </c>
      <c r="B69">
        <v>83</v>
      </c>
      <c r="C69">
        <v>68</v>
      </c>
      <c r="D69">
        <v>62</v>
      </c>
      <c r="E69">
        <v>94.36</v>
      </c>
      <c r="F69" t="s">
        <v>15</v>
      </c>
      <c r="G69" t="s">
        <v>18</v>
      </c>
      <c r="H69" t="s">
        <v>20</v>
      </c>
      <c r="I69" t="s">
        <v>13</v>
      </c>
      <c r="J69" s="1"/>
    </row>
    <row r="70" spans="1:10" x14ac:dyDescent="0.35">
      <c r="A70" t="s">
        <v>46</v>
      </c>
      <c r="B70">
        <v>67</v>
      </c>
      <c r="C70">
        <v>78</v>
      </c>
      <c r="D70">
        <v>86</v>
      </c>
      <c r="E70">
        <v>86.09</v>
      </c>
      <c r="F70" t="s">
        <v>10</v>
      </c>
      <c r="G70" t="s">
        <v>11</v>
      </c>
      <c r="H70" t="s">
        <v>20</v>
      </c>
      <c r="I70" t="s">
        <v>24</v>
      </c>
      <c r="J70" s="1"/>
    </row>
    <row r="71" spans="1:10" x14ac:dyDescent="0.35">
      <c r="A71" t="s">
        <v>47</v>
      </c>
      <c r="B71">
        <v>84</v>
      </c>
      <c r="C71">
        <v>45</v>
      </c>
      <c r="D71">
        <v>42</v>
      </c>
      <c r="E71">
        <v>69.319999999999993</v>
      </c>
      <c r="F71" t="s">
        <v>15</v>
      </c>
      <c r="G71" t="s">
        <v>18</v>
      </c>
      <c r="H71" t="s">
        <v>23</v>
      </c>
      <c r="I71" t="s">
        <v>16</v>
      </c>
      <c r="J71" s="1"/>
    </row>
    <row r="72" spans="1:10" x14ac:dyDescent="0.35">
      <c r="A72" t="s">
        <v>48</v>
      </c>
      <c r="B72">
        <v>70</v>
      </c>
      <c r="C72">
        <v>49</v>
      </c>
      <c r="D72">
        <v>91</v>
      </c>
      <c r="E72">
        <v>90.98</v>
      </c>
      <c r="F72" t="s">
        <v>10</v>
      </c>
      <c r="G72" t="s">
        <v>11</v>
      </c>
      <c r="H72" t="s">
        <v>20</v>
      </c>
      <c r="I72" t="s">
        <v>16</v>
      </c>
      <c r="J72" s="1"/>
    </row>
    <row r="73" spans="1:10" x14ac:dyDescent="0.35">
      <c r="A73" t="s">
        <v>49</v>
      </c>
      <c r="B73">
        <v>92</v>
      </c>
      <c r="C73">
        <v>80</v>
      </c>
      <c r="D73">
        <v>89</v>
      </c>
      <c r="E73">
        <v>65.38</v>
      </c>
      <c r="F73" t="s">
        <v>10</v>
      </c>
      <c r="G73" t="s">
        <v>11</v>
      </c>
      <c r="H73" t="s">
        <v>12</v>
      </c>
      <c r="I73" t="s">
        <v>30</v>
      </c>
      <c r="J73" s="1"/>
    </row>
    <row r="74" spans="1:10" x14ac:dyDescent="0.35">
      <c r="A74" t="s">
        <v>50</v>
      </c>
      <c r="B74">
        <v>46</v>
      </c>
      <c r="C74">
        <v>81</v>
      </c>
      <c r="D74">
        <v>97</v>
      </c>
      <c r="E74">
        <v>66.62</v>
      </c>
      <c r="F74" t="s">
        <v>10</v>
      </c>
      <c r="G74" t="s">
        <v>18</v>
      </c>
      <c r="H74" t="s">
        <v>20</v>
      </c>
      <c r="I74" t="s">
        <v>16</v>
      </c>
      <c r="J74" s="1"/>
    </row>
    <row r="75" spans="1:10" x14ac:dyDescent="0.35">
      <c r="A75" t="s">
        <v>51</v>
      </c>
      <c r="B75">
        <v>85</v>
      </c>
      <c r="C75">
        <v>44</v>
      </c>
      <c r="D75">
        <v>48</v>
      </c>
      <c r="E75">
        <v>84.51</v>
      </c>
      <c r="F75" t="s">
        <v>15</v>
      </c>
      <c r="G75" t="s">
        <v>22</v>
      </c>
      <c r="H75" t="s">
        <v>12</v>
      </c>
      <c r="I75" t="s">
        <v>30</v>
      </c>
      <c r="J75" s="1"/>
    </row>
    <row r="76" spans="1:10" x14ac:dyDescent="0.35">
      <c r="A76" t="s">
        <v>52</v>
      </c>
      <c r="B76">
        <v>91</v>
      </c>
      <c r="C76">
        <v>98</v>
      </c>
      <c r="D76">
        <v>88</v>
      </c>
      <c r="E76">
        <v>69.55</v>
      </c>
      <c r="F76" t="s">
        <v>10</v>
      </c>
      <c r="G76" t="s">
        <v>32</v>
      </c>
      <c r="H76" t="s">
        <v>12</v>
      </c>
      <c r="I76" t="s">
        <v>24</v>
      </c>
      <c r="J76" s="1"/>
    </row>
    <row r="77" spans="1:10" x14ac:dyDescent="0.35">
      <c r="A77" t="s">
        <v>53</v>
      </c>
      <c r="B77">
        <v>66</v>
      </c>
      <c r="C77">
        <v>63</v>
      </c>
      <c r="D77">
        <v>58</v>
      </c>
      <c r="E77">
        <v>88.19</v>
      </c>
      <c r="F77" t="s">
        <v>15</v>
      </c>
      <c r="G77" t="s">
        <v>11</v>
      </c>
      <c r="H77" t="s">
        <v>20</v>
      </c>
      <c r="I77" t="s">
        <v>16</v>
      </c>
      <c r="J77" s="1"/>
    </row>
    <row r="78" spans="1:10" x14ac:dyDescent="0.35">
      <c r="A78" t="s">
        <v>54</v>
      </c>
      <c r="B78">
        <v>56</v>
      </c>
      <c r="C78">
        <v>80</v>
      </c>
      <c r="D78">
        <v>75</v>
      </c>
      <c r="E78">
        <v>73.98</v>
      </c>
      <c r="F78" t="s">
        <v>10</v>
      </c>
      <c r="G78" t="s">
        <v>22</v>
      </c>
      <c r="H78" t="s">
        <v>23</v>
      </c>
      <c r="I78" t="s">
        <v>24</v>
      </c>
      <c r="J78" s="1"/>
    </row>
    <row r="79" spans="1:10" x14ac:dyDescent="0.35">
      <c r="A79" t="s">
        <v>55</v>
      </c>
      <c r="B79">
        <v>46</v>
      </c>
      <c r="C79">
        <v>61</v>
      </c>
      <c r="D79">
        <v>79</v>
      </c>
      <c r="E79">
        <v>71.099999999999994</v>
      </c>
      <c r="F79" t="s">
        <v>10</v>
      </c>
      <c r="G79" t="s">
        <v>18</v>
      </c>
      <c r="H79" t="s">
        <v>12</v>
      </c>
      <c r="I79" t="s">
        <v>30</v>
      </c>
      <c r="J79" s="1"/>
    </row>
    <row r="80" spans="1:10" x14ac:dyDescent="0.35">
      <c r="A80" t="s">
        <v>56</v>
      </c>
      <c r="B80">
        <v>54</v>
      </c>
      <c r="C80">
        <v>65</v>
      </c>
      <c r="D80">
        <v>66</v>
      </c>
      <c r="E80">
        <v>99.96</v>
      </c>
      <c r="F80" t="s">
        <v>10</v>
      </c>
      <c r="G80" t="s">
        <v>32</v>
      </c>
      <c r="H80" t="s">
        <v>20</v>
      </c>
      <c r="I80" t="s">
        <v>13</v>
      </c>
      <c r="J80" s="1"/>
    </row>
    <row r="81" spans="1:10" x14ac:dyDescent="0.35">
      <c r="A81" t="s">
        <v>57</v>
      </c>
      <c r="B81">
        <v>92</v>
      </c>
      <c r="C81">
        <v>90</v>
      </c>
      <c r="D81">
        <v>81</v>
      </c>
      <c r="E81">
        <v>61.62</v>
      </c>
      <c r="F81" t="s">
        <v>10</v>
      </c>
      <c r="G81" t="s">
        <v>32</v>
      </c>
      <c r="H81" t="s">
        <v>23</v>
      </c>
      <c r="I81" t="s">
        <v>13</v>
      </c>
      <c r="J81" s="1"/>
    </row>
    <row r="82" spans="1:10" x14ac:dyDescent="0.35">
      <c r="A82" t="s">
        <v>58</v>
      </c>
      <c r="B82">
        <v>79</v>
      </c>
      <c r="C82">
        <v>76</v>
      </c>
      <c r="D82">
        <v>67</v>
      </c>
      <c r="E82">
        <v>85.83</v>
      </c>
      <c r="F82" t="s">
        <v>10</v>
      </c>
      <c r="G82" t="s">
        <v>22</v>
      </c>
      <c r="H82" t="s">
        <v>12</v>
      </c>
      <c r="I82" t="s">
        <v>24</v>
      </c>
      <c r="J82" s="1"/>
    </row>
    <row r="83" spans="1:10" x14ac:dyDescent="0.35">
      <c r="A83" t="s">
        <v>59</v>
      </c>
      <c r="B83">
        <v>51</v>
      </c>
      <c r="C83">
        <v>84</v>
      </c>
      <c r="D83">
        <v>82</v>
      </c>
      <c r="E83">
        <v>61.55</v>
      </c>
      <c r="F83" t="s">
        <v>15</v>
      </c>
      <c r="G83" t="s">
        <v>11</v>
      </c>
      <c r="H83" t="s">
        <v>20</v>
      </c>
      <c r="I83" t="s">
        <v>13</v>
      </c>
      <c r="J83" s="1"/>
    </row>
    <row r="84" spans="1:10" x14ac:dyDescent="0.35">
      <c r="A84" t="s">
        <v>60</v>
      </c>
      <c r="B84">
        <v>94</v>
      </c>
      <c r="C84">
        <v>68</v>
      </c>
      <c r="D84">
        <v>90</v>
      </c>
      <c r="E84">
        <v>90.41</v>
      </c>
      <c r="F84" t="s">
        <v>15</v>
      </c>
      <c r="G84" t="s">
        <v>11</v>
      </c>
      <c r="H84" t="s">
        <v>20</v>
      </c>
      <c r="I84" t="s">
        <v>24</v>
      </c>
      <c r="J84" s="1"/>
    </row>
    <row r="85" spans="1:10" x14ac:dyDescent="0.35">
      <c r="A85" t="s">
        <v>61</v>
      </c>
      <c r="B85">
        <v>47</v>
      </c>
      <c r="C85">
        <v>75</v>
      </c>
      <c r="D85">
        <v>47</v>
      </c>
      <c r="E85">
        <v>69.2</v>
      </c>
      <c r="F85" t="s">
        <v>10</v>
      </c>
      <c r="G85" t="s">
        <v>32</v>
      </c>
      <c r="H85" t="s">
        <v>20</v>
      </c>
      <c r="I85" t="s">
        <v>13</v>
      </c>
      <c r="J85" s="1"/>
    </row>
    <row r="86" spans="1:10" x14ac:dyDescent="0.35">
      <c r="A86" t="s">
        <v>62</v>
      </c>
      <c r="B86">
        <v>41</v>
      </c>
      <c r="C86">
        <v>59</v>
      </c>
      <c r="D86">
        <v>81</v>
      </c>
      <c r="E86">
        <v>63.59</v>
      </c>
      <c r="F86" t="s">
        <v>15</v>
      </c>
      <c r="G86" t="s">
        <v>22</v>
      </c>
      <c r="H86" t="s">
        <v>12</v>
      </c>
      <c r="I86" t="s">
        <v>16</v>
      </c>
      <c r="J86" s="1"/>
    </row>
    <row r="87" spans="1:10" x14ac:dyDescent="0.35">
      <c r="A87" t="s">
        <v>63</v>
      </c>
      <c r="B87">
        <v>83</v>
      </c>
      <c r="C87">
        <v>57</v>
      </c>
      <c r="D87">
        <v>87</v>
      </c>
      <c r="E87">
        <v>85.94</v>
      </c>
      <c r="F87" t="s">
        <v>15</v>
      </c>
      <c r="G87" t="s">
        <v>18</v>
      </c>
      <c r="H87" t="s">
        <v>20</v>
      </c>
      <c r="I87" t="s">
        <v>30</v>
      </c>
      <c r="J87" s="1"/>
    </row>
    <row r="88" spans="1:10" x14ac:dyDescent="0.35">
      <c r="A88" t="s">
        <v>64</v>
      </c>
      <c r="B88">
        <v>98</v>
      </c>
      <c r="C88">
        <v>79</v>
      </c>
      <c r="D88">
        <v>47</v>
      </c>
      <c r="E88">
        <v>89.3</v>
      </c>
      <c r="F88" t="s">
        <v>15</v>
      </c>
      <c r="G88" t="s">
        <v>22</v>
      </c>
      <c r="H88" t="s">
        <v>20</v>
      </c>
      <c r="I88" t="s">
        <v>13</v>
      </c>
      <c r="J88" s="1"/>
    </row>
    <row r="89" spans="1:10" x14ac:dyDescent="0.35">
      <c r="A89" t="s">
        <v>65</v>
      </c>
      <c r="B89">
        <v>77</v>
      </c>
      <c r="C89">
        <v>84</v>
      </c>
      <c r="D89">
        <v>57</v>
      </c>
      <c r="E89">
        <v>87.12</v>
      </c>
      <c r="F89" t="s">
        <v>10</v>
      </c>
      <c r="G89" t="s">
        <v>22</v>
      </c>
      <c r="H89" t="s">
        <v>23</v>
      </c>
      <c r="I89" t="s">
        <v>24</v>
      </c>
      <c r="J89" s="1"/>
    </row>
    <row r="90" spans="1:10" x14ac:dyDescent="0.35">
      <c r="A90" t="s">
        <v>66</v>
      </c>
      <c r="B90">
        <v>95</v>
      </c>
      <c r="C90">
        <v>80</v>
      </c>
      <c r="D90">
        <v>98</v>
      </c>
      <c r="E90">
        <v>62.08</v>
      </c>
      <c r="F90" t="s">
        <v>15</v>
      </c>
      <c r="G90" t="s">
        <v>11</v>
      </c>
      <c r="H90" t="s">
        <v>12</v>
      </c>
      <c r="I90" t="s">
        <v>30</v>
      </c>
      <c r="J90" s="1"/>
    </row>
    <row r="91" spans="1:10" x14ac:dyDescent="0.35">
      <c r="A91" t="s">
        <v>67</v>
      </c>
      <c r="B91">
        <v>65</v>
      </c>
      <c r="C91">
        <v>93</v>
      </c>
      <c r="D91">
        <v>60</v>
      </c>
      <c r="E91">
        <v>71.77</v>
      </c>
      <c r="F91" t="s">
        <v>15</v>
      </c>
      <c r="G91" t="s">
        <v>22</v>
      </c>
      <c r="H91" t="s">
        <v>20</v>
      </c>
      <c r="I91" t="s">
        <v>16</v>
      </c>
      <c r="J91" s="1"/>
    </row>
    <row r="92" spans="1:10" x14ac:dyDescent="0.35">
      <c r="A92" t="s">
        <v>68</v>
      </c>
      <c r="B92">
        <v>90</v>
      </c>
      <c r="C92">
        <v>95</v>
      </c>
      <c r="D92">
        <v>85</v>
      </c>
      <c r="E92">
        <v>78.040000000000006</v>
      </c>
      <c r="F92" t="s">
        <v>15</v>
      </c>
      <c r="G92" t="s">
        <v>18</v>
      </c>
      <c r="H92" t="s">
        <v>12</v>
      </c>
      <c r="I92" t="s">
        <v>16</v>
      </c>
      <c r="J92" s="1"/>
    </row>
    <row r="93" spans="1:10" x14ac:dyDescent="0.35">
      <c r="A93" t="s">
        <v>69</v>
      </c>
      <c r="B93">
        <v>60</v>
      </c>
      <c r="C93">
        <v>95</v>
      </c>
      <c r="D93">
        <v>52</v>
      </c>
      <c r="E93">
        <v>71.48</v>
      </c>
      <c r="F93" t="s">
        <v>10</v>
      </c>
      <c r="G93" t="s">
        <v>22</v>
      </c>
      <c r="H93" t="s">
        <v>20</v>
      </c>
      <c r="I93" t="s">
        <v>24</v>
      </c>
      <c r="J93" s="1"/>
    </row>
    <row r="94" spans="1:10" x14ac:dyDescent="0.35">
      <c r="A94" t="s">
        <v>70</v>
      </c>
      <c r="B94">
        <v>96</v>
      </c>
      <c r="C94">
        <v>54</v>
      </c>
      <c r="D94">
        <v>66</v>
      </c>
      <c r="E94">
        <v>92.42</v>
      </c>
      <c r="F94" t="s">
        <v>15</v>
      </c>
      <c r="G94" t="s">
        <v>11</v>
      </c>
      <c r="H94" t="s">
        <v>20</v>
      </c>
      <c r="I94" t="s">
        <v>13</v>
      </c>
      <c r="J94" s="1"/>
    </row>
    <row r="95" spans="1:10" x14ac:dyDescent="0.35">
      <c r="A95" t="s">
        <v>71</v>
      </c>
      <c r="B95">
        <v>89</v>
      </c>
      <c r="C95">
        <v>54</v>
      </c>
      <c r="D95">
        <v>86</v>
      </c>
      <c r="E95">
        <v>65.239999999999995</v>
      </c>
      <c r="F95" t="s">
        <v>15</v>
      </c>
      <c r="G95" t="s">
        <v>11</v>
      </c>
      <c r="H95" t="s">
        <v>23</v>
      </c>
      <c r="I95" t="s">
        <v>13</v>
      </c>
      <c r="J95" s="1"/>
    </row>
    <row r="96" spans="1:10" x14ac:dyDescent="0.35">
      <c r="A96" t="s">
        <v>72</v>
      </c>
      <c r="B96">
        <v>52</v>
      </c>
      <c r="C96">
        <v>63</v>
      </c>
      <c r="D96">
        <v>99</v>
      </c>
      <c r="E96">
        <v>84.49</v>
      </c>
      <c r="F96" t="s">
        <v>15</v>
      </c>
      <c r="G96" t="s">
        <v>11</v>
      </c>
      <c r="H96" t="s">
        <v>20</v>
      </c>
      <c r="I96" t="s">
        <v>30</v>
      </c>
      <c r="J96" s="1"/>
    </row>
    <row r="97" spans="1:10" x14ac:dyDescent="0.35">
      <c r="A97" t="s">
        <v>73</v>
      </c>
      <c r="B97">
        <v>58</v>
      </c>
      <c r="C97">
        <v>68</v>
      </c>
      <c r="D97">
        <v>79</v>
      </c>
      <c r="E97">
        <v>99.53</v>
      </c>
      <c r="F97" t="s">
        <v>10</v>
      </c>
      <c r="G97" t="s">
        <v>32</v>
      </c>
      <c r="H97" t="s">
        <v>20</v>
      </c>
      <c r="I97" t="s">
        <v>24</v>
      </c>
      <c r="J97" s="1"/>
    </row>
    <row r="98" spans="1:10" x14ac:dyDescent="0.35">
      <c r="A98" t="s">
        <v>74</v>
      </c>
      <c r="B98">
        <v>57</v>
      </c>
      <c r="C98">
        <v>93</v>
      </c>
      <c r="D98">
        <v>92</v>
      </c>
      <c r="E98">
        <v>96.1</v>
      </c>
      <c r="F98" t="s">
        <v>10</v>
      </c>
      <c r="G98" t="s">
        <v>22</v>
      </c>
      <c r="H98" t="s">
        <v>23</v>
      </c>
      <c r="I98" t="s">
        <v>24</v>
      </c>
      <c r="J98" s="1"/>
    </row>
    <row r="99" spans="1:10" x14ac:dyDescent="0.35">
      <c r="A99" t="s">
        <v>75</v>
      </c>
      <c r="B99">
        <v>41</v>
      </c>
      <c r="C99">
        <v>56</v>
      </c>
      <c r="D99">
        <v>55</v>
      </c>
      <c r="E99">
        <v>68.89</v>
      </c>
      <c r="F99" t="s">
        <v>10</v>
      </c>
      <c r="G99" t="s">
        <v>32</v>
      </c>
      <c r="H99" t="s">
        <v>20</v>
      </c>
      <c r="I99" t="s">
        <v>30</v>
      </c>
      <c r="J99" s="1"/>
    </row>
    <row r="100" spans="1:10" x14ac:dyDescent="0.35">
      <c r="A100" t="s">
        <v>76</v>
      </c>
      <c r="B100">
        <v>91</v>
      </c>
      <c r="C100">
        <v>88</v>
      </c>
      <c r="D100">
        <v>79</v>
      </c>
      <c r="E100">
        <v>60</v>
      </c>
      <c r="F100" t="s">
        <v>15</v>
      </c>
      <c r="G100" t="s">
        <v>32</v>
      </c>
      <c r="H100" t="s">
        <v>20</v>
      </c>
      <c r="I100" t="s">
        <v>30</v>
      </c>
      <c r="J100" s="1"/>
    </row>
    <row r="101" spans="1:10" x14ac:dyDescent="0.35">
      <c r="A101" t="s">
        <v>77</v>
      </c>
      <c r="B101">
        <v>84</v>
      </c>
      <c r="C101">
        <v>86</v>
      </c>
      <c r="D101">
        <v>48</v>
      </c>
      <c r="E101">
        <v>99.22</v>
      </c>
      <c r="F101" t="s">
        <v>10</v>
      </c>
      <c r="G101" t="s">
        <v>18</v>
      </c>
      <c r="H101" t="s">
        <v>23</v>
      </c>
      <c r="I101" t="s">
        <v>13</v>
      </c>
      <c r="J101" s="1"/>
    </row>
    <row r="102" spans="1:10" x14ac:dyDescent="0.35">
      <c r="A102" t="s">
        <v>78</v>
      </c>
      <c r="B102">
        <v>93</v>
      </c>
      <c r="C102">
        <v>64</v>
      </c>
      <c r="D102">
        <v>66</v>
      </c>
      <c r="E102">
        <v>95.31</v>
      </c>
      <c r="F102" t="s">
        <v>10</v>
      </c>
      <c r="G102" t="s">
        <v>22</v>
      </c>
      <c r="H102" t="s">
        <v>20</v>
      </c>
      <c r="I102" t="s">
        <v>30</v>
      </c>
      <c r="J102" s="1"/>
    </row>
    <row r="103" spans="1:10" x14ac:dyDescent="0.35">
      <c r="A103" t="s">
        <v>79</v>
      </c>
      <c r="B103">
        <v>81</v>
      </c>
      <c r="C103">
        <v>55</v>
      </c>
      <c r="D103">
        <v>56</v>
      </c>
      <c r="E103">
        <v>96.78</v>
      </c>
      <c r="F103" t="s">
        <v>15</v>
      </c>
      <c r="G103" t="s">
        <v>22</v>
      </c>
      <c r="H103" t="s">
        <v>23</v>
      </c>
      <c r="I103" t="s">
        <v>24</v>
      </c>
      <c r="J103" s="1"/>
    </row>
    <row r="104" spans="1:10" x14ac:dyDescent="0.35">
      <c r="A104" t="s">
        <v>80</v>
      </c>
      <c r="B104">
        <v>88</v>
      </c>
      <c r="C104">
        <v>89</v>
      </c>
      <c r="D104">
        <v>42</v>
      </c>
      <c r="E104">
        <v>76.62</v>
      </c>
      <c r="F104" t="s">
        <v>10</v>
      </c>
      <c r="G104" t="s">
        <v>32</v>
      </c>
      <c r="H104" t="s">
        <v>12</v>
      </c>
      <c r="I104" t="s">
        <v>16</v>
      </c>
      <c r="J104" s="1"/>
    </row>
    <row r="105" spans="1:10" x14ac:dyDescent="0.35">
      <c r="A105" t="s">
        <v>81</v>
      </c>
      <c r="B105">
        <v>96</v>
      </c>
      <c r="C105">
        <v>56</v>
      </c>
      <c r="D105">
        <v>95</v>
      </c>
      <c r="E105">
        <v>89.78</v>
      </c>
      <c r="F105" t="s">
        <v>10</v>
      </c>
      <c r="G105" t="s">
        <v>32</v>
      </c>
      <c r="H105" t="s">
        <v>23</v>
      </c>
      <c r="I105" t="s">
        <v>16</v>
      </c>
      <c r="J105" s="1"/>
    </row>
    <row r="106" spans="1:10" x14ac:dyDescent="0.35">
      <c r="A106" t="s">
        <v>82</v>
      </c>
      <c r="B106">
        <v>67</v>
      </c>
      <c r="C106">
        <v>86</v>
      </c>
      <c r="D106">
        <v>92</v>
      </c>
      <c r="E106">
        <v>68.510000000000005</v>
      </c>
      <c r="F106" t="s">
        <v>10</v>
      </c>
      <c r="G106" t="s">
        <v>32</v>
      </c>
      <c r="H106" t="s">
        <v>23</v>
      </c>
      <c r="I106" t="s">
        <v>16</v>
      </c>
      <c r="J106" s="1"/>
    </row>
    <row r="107" spans="1:10" x14ac:dyDescent="0.35">
      <c r="A107" t="s">
        <v>83</v>
      </c>
      <c r="B107">
        <v>89</v>
      </c>
      <c r="C107">
        <v>86</v>
      </c>
      <c r="D107">
        <v>43</v>
      </c>
      <c r="E107">
        <v>75.69</v>
      </c>
      <c r="F107" t="s">
        <v>15</v>
      </c>
      <c r="G107" t="s">
        <v>11</v>
      </c>
      <c r="H107" t="s">
        <v>20</v>
      </c>
      <c r="I107" t="s">
        <v>16</v>
      </c>
      <c r="J107" s="1"/>
    </row>
    <row r="108" spans="1:10" x14ac:dyDescent="0.35">
      <c r="A108" t="s">
        <v>84</v>
      </c>
      <c r="B108">
        <v>62</v>
      </c>
      <c r="C108">
        <v>60</v>
      </c>
      <c r="D108">
        <v>79</v>
      </c>
      <c r="E108">
        <v>94.06</v>
      </c>
      <c r="F108" t="s">
        <v>15</v>
      </c>
      <c r="G108" t="s">
        <v>22</v>
      </c>
      <c r="H108" t="s">
        <v>12</v>
      </c>
      <c r="I108" t="s">
        <v>24</v>
      </c>
      <c r="J108" s="1"/>
    </row>
    <row r="109" spans="1:10" x14ac:dyDescent="0.35">
      <c r="A109" t="s">
        <v>85</v>
      </c>
      <c r="B109">
        <v>43</v>
      </c>
      <c r="C109">
        <v>83</v>
      </c>
      <c r="D109">
        <v>91</v>
      </c>
      <c r="E109">
        <v>65.099999999999994</v>
      </c>
      <c r="F109" t="s">
        <v>15</v>
      </c>
      <c r="G109" t="s">
        <v>18</v>
      </c>
      <c r="H109" t="s">
        <v>20</v>
      </c>
      <c r="I109" t="s">
        <v>16</v>
      </c>
      <c r="J109" s="1"/>
    </row>
    <row r="110" spans="1:10" x14ac:dyDescent="0.35">
      <c r="A110" t="s">
        <v>86</v>
      </c>
      <c r="B110">
        <v>43</v>
      </c>
      <c r="C110">
        <v>87</v>
      </c>
      <c r="D110">
        <v>95</v>
      </c>
      <c r="E110">
        <v>95.75</v>
      </c>
      <c r="F110" t="s">
        <v>10</v>
      </c>
      <c r="G110" t="s">
        <v>22</v>
      </c>
      <c r="H110" t="s">
        <v>20</v>
      </c>
      <c r="I110" t="s">
        <v>24</v>
      </c>
      <c r="J110" s="1"/>
    </row>
    <row r="111" spans="1:10" x14ac:dyDescent="0.35">
      <c r="A111" t="s">
        <v>87</v>
      </c>
      <c r="B111">
        <v>51</v>
      </c>
      <c r="C111">
        <v>66</v>
      </c>
      <c r="D111">
        <v>40</v>
      </c>
      <c r="E111">
        <v>79.86</v>
      </c>
      <c r="F111" t="s">
        <v>15</v>
      </c>
      <c r="G111" t="s">
        <v>32</v>
      </c>
      <c r="H111" t="s">
        <v>20</v>
      </c>
      <c r="I111" t="s">
        <v>13</v>
      </c>
      <c r="J111" s="1"/>
    </row>
    <row r="112" spans="1:10" x14ac:dyDescent="0.35">
      <c r="A112" t="s">
        <v>88</v>
      </c>
      <c r="B112">
        <v>61</v>
      </c>
      <c r="C112">
        <v>93</v>
      </c>
      <c r="D112">
        <v>53</v>
      </c>
      <c r="E112">
        <v>77.040000000000006</v>
      </c>
      <c r="F112" t="s">
        <v>10</v>
      </c>
      <c r="G112" t="s">
        <v>18</v>
      </c>
      <c r="H112" t="s">
        <v>20</v>
      </c>
      <c r="I112" t="s">
        <v>16</v>
      </c>
      <c r="J112" s="1"/>
    </row>
    <row r="113" spans="1:10" x14ac:dyDescent="0.35">
      <c r="A113" t="s">
        <v>89</v>
      </c>
      <c r="B113">
        <v>65</v>
      </c>
      <c r="C113">
        <v>44</v>
      </c>
      <c r="D113">
        <v>47</v>
      </c>
      <c r="E113">
        <v>72.23</v>
      </c>
      <c r="F113" t="s">
        <v>15</v>
      </c>
      <c r="G113" t="s">
        <v>11</v>
      </c>
      <c r="H113" t="s">
        <v>20</v>
      </c>
      <c r="I113" t="s">
        <v>24</v>
      </c>
      <c r="J113" s="1"/>
    </row>
    <row r="114" spans="1:10" x14ac:dyDescent="0.35">
      <c r="A114" t="s">
        <v>90</v>
      </c>
      <c r="B114">
        <v>79</v>
      </c>
      <c r="C114">
        <v>61</v>
      </c>
      <c r="D114">
        <v>46</v>
      </c>
      <c r="E114">
        <v>96.67</v>
      </c>
      <c r="F114" t="s">
        <v>15</v>
      </c>
      <c r="G114" t="s">
        <v>18</v>
      </c>
      <c r="H114" t="s">
        <v>12</v>
      </c>
      <c r="I114" t="s">
        <v>13</v>
      </c>
      <c r="J114" s="1"/>
    </row>
    <row r="115" spans="1:10" x14ac:dyDescent="0.35">
      <c r="A115" t="s">
        <v>91</v>
      </c>
      <c r="B115">
        <v>81</v>
      </c>
      <c r="C115">
        <v>72</v>
      </c>
      <c r="D115">
        <v>69</v>
      </c>
      <c r="E115">
        <v>80.7</v>
      </c>
      <c r="F115" t="s">
        <v>10</v>
      </c>
      <c r="G115" t="s">
        <v>11</v>
      </c>
      <c r="H115" t="s">
        <v>23</v>
      </c>
      <c r="I115" t="s">
        <v>13</v>
      </c>
      <c r="J115" s="1"/>
    </row>
    <row r="116" spans="1:10" x14ac:dyDescent="0.35">
      <c r="A116" t="s">
        <v>92</v>
      </c>
      <c r="B116">
        <v>74</v>
      </c>
      <c r="C116">
        <v>79</v>
      </c>
      <c r="D116">
        <v>64</v>
      </c>
      <c r="E116">
        <v>92.16</v>
      </c>
      <c r="F116" t="s">
        <v>15</v>
      </c>
      <c r="G116" t="s">
        <v>22</v>
      </c>
      <c r="H116" t="s">
        <v>12</v>
      </c>
      <c r="I116" t="s">
        <v>13</v>
      </c>
      <c r="J116" s="1"/>
    </row>
    <row r="117" spans="1:10" x14ac:dyDescent="0.35">
      <c r="A117" t="s">
        <v>93</v>
      </c>
      <c r="B117">
        <v>43</v>
      </c>
      <c r="C117">
        <v>41</v>
      </c>
      <c r="D117">
        <v>78</v>
      </c>
      <c r="E117">
        <v>94.31</v>
      </c>
      <c r="F117" t="s">
        <v>15</v>
      </c>
      <c r="G117" t="s">
        <v>22</v>
      </c>
      <c r="H117" t="s">
        <v>23</v>
      </c>
      <c r="I117" t="s">
        <v>16</v>
      </c>
      <c r="J117" s="1"/>
    </row>
    <row r="118" spans="1:10" x14ac:dyDescent="0.35">
      <c r="A118" t="s">
        <v>94</v>
      </c>
      <c r="B118">
        <v>51</v>
      </c>
      <c r="C118">
        <v>74</v>
      </c>
      <c r="D118">
        <v>55</v>
      </c>
      <c r="E118">
        <v>96.9</v>
      </c>
      <c r="F118" t="s">
        <v>15</v>
      </c>
      <c r="G118" t="s">
        <v>32</v>
      </c>
      <c r="H118" t="s">
        <v>23</v>
      </c>
      <c r="I118" t="s">
        <v>30</v>
      </c>
      <c r="J118" s="1"/>
    </row>
    <row r="119" spans="1:10" x14ac:dyDescent="0.35">
      <c r="A119" t="s">
        <v>95</v>
      </c>
      <c r="B119">
        <v>43</v>
      </c>
      <c r="C119">
        <v>82</v>
      </c>
      <c r="D119">
        <v>50</v>
      </c>
      <c r="E119">
        <v>72.14</v>
      </c>
      <c r="F119" t="s">
        <v>10</v>
      </c>
      <c r="G119" t="s">
        <v>18</v>
      </c>
      <c r="H119" t="s">
        <v>12</v>
      </c>
      <c r="I119" t="s">
        <v>24</v>
      </c>
      <c r="J119" s="1"/>
    </row>
    <row r="120" spans="1:10" x14ac:dyDescent="0.35">
      <c r="A120" t="s">
        <v>96</v>
      </c>
      <c r="B120">
        <v>91</v>
      </c>
      <c r="C120">
        <v>58</v>
      </c>
      <c r="D120">
        <v>64</v>
      </c>
      <c r="E120">
        <v>73.59</v>
      </c>
      <c r="F120" t="s">
        <v>15</v>
      </c>
      <c r="G120" t="s">
        <v>18</v>
      </c>
      <c r="H120" t="s">
        <v>20</v>
      </c>
      <c r="I120" t="s">
        <v>16</v>
      </c>
      <c r="J120" s="1"/>
    </row>
    <row r="121" spans="1:10" x14ac:dyDescent="0.35">
      <c r="A121" t="s">
        <v>97</v>
      </c>
      <c r="B121">
        <v>96</v>
      </c>
      <c r="C121">
        <v>79</v>
      </c>
      <c r="D121">
        <v>72</v>
      </c>
      <c r="E121">
        <v>83.8</v>
      </c>
      <c r="F121" t="s">
        <v>10</v>
      </c>
      <c r="G121" t="s">
        <v>22</v>
      </c>
      <c r="H121" t="s">
        <v>12</v>
      </c>
      <c r="I121" t="s">
        <v>24</v>
      </c>
      <c r="J121" s="1"/>
    </row>
    <row r="122" spans="1:10" x14ac:dyDescent="0.35">
      <c r="A122" t="s">
        <v>98</v>
      </c>
      <c r="B122">
        <v>70</v>
      </c>
      <c r="C122">
        <v>66</v>
      </c>
      <c r="D122">
        <v>100</v>
      </c>
      <c r="E122">
        <v>77.650000000000006</v>
      </c>
      <c r="F122" t="s">
        <v>15</v>
      </c>
      <c r="G122" t="s">
        <v>18</v>
      </c>
      <c r="H122" t="s">
        <v>20</v>
      </c>
      <c r="I122" t="s">
        <v>24</v>
      </c>
      <c r="J122" s="1"/>
    </row>
    <row r="123" spans="1:10" x14ac:dyDescent="0.35">
      <c r="A123" t="s">
        <v>99</v>
      </c>
      <c r="B123">
        <v>46</v>
      </c>
      <c r="C123">
        <v>79</v>
      </c>
      <c r="D123">
        <v>93</v>
      </c>
      <c r="E123">
        <v>97.31</v>
      </c>
      <c r="F123" t="s">
        <v>15</v>
      </c>
      <c r="G123" t="s">
        <v>22</v>
      </c>
      <c r="H123" t="s">
        <v>20</v>
      </c>
      <c r="I123" t="s">
        <v>30</v>
      </c>
      <c r="J123" s="1"/>
    </row>
    <row r="124" spans="1:10" x14ac:dyDescent="0.35">
      <c r="A124" t="s">
        <v>100</v>
      </c>
      <c r="B124">
        <v>49</v>
      </c>
      <c r="C124">
        <v>75</v>
      </c>
      <c r="D124">
        <v>91</v>
      </c>
      <c r="E124">
        <v>75.900000000000006</v>
      </c>
      <c r="F124" t="s">
        <v>15</v>
      </c>
      <c r="G124" t="s">
        <v>18</v>
      </c>
      <c r="H124" t="s">
        <v>23</v>
      </c>
      <c r="I124" t="s">
        <v>16</v>
      </c>
      <c r="J124" s="1"/>
    </row>
    <row r="125" spans="1:10" x14ac:dyDescent="0.35">
      <c r="A125" t="s">
        <v>101</v>
      </c>
      <c r="B125">
        <v>63</v>
      </c>
      <c r="C125">
        <v>98</v>
      </c>
      <c r="D125">
        <v>90</v>
      </c>
      <c r="E125">
        <v>79.11</v>
      </c>
      <c r="F125" t="s">
        <v>15</v>
      </c>
      <c r="G125" t="s">
        <v>11</v>
      </c>
      <c r="H125" t="s">
        <v>12</v>
      </c>
      <c r="I125" t="s">
        <v>30</v>
      </c>
      <c r="J125" s="1"/>
    </row>
    <row r="126" spans="1:10" x14ac:dyDescent="0.35">
      <c r="A126" t="s">
        <v>102</v>
      </c>
      <c r="B126">
        <v>54</v>
      </c>
      <c r="C126">
        <v>78</v>
      </c>
      <c r="D126">
        <v>87</v>
      </c>
      <c r="E126">
        <v>84.69</v>
      </c>
      <c r="F126" t="s">
        <v>10</v>
      </c>
      <c r="G126" t="s">
        <v>22</v>
      </c>
      <c r="H126" t="s">
        <v>20</v>
      </c>
      <c r="I126" t="s">
        <v>13</v>
      </c>
      <c r="J126" s="1"/>
    </row>
    <row r="127" spans="1:10" x14ac:dyDescent="0.35">
      <c r="A127" t="s">
        <v>103</v>
      </c>
      <c r="B127">
        <v>78</v>
      </c>
      <c r="C127">
        <v>41</v>
      </c>
      <c r="D127">
        <v>60</v>
      </c>
      <c r="E127">
        <v>76.19</v>
      </c>
      <c r="F127" t="s">
        <v>10</v>
      </c>
      <c r="G127" t="s">
        <v>32</v>
      </c>
      <c r="H127" t="s">
        <v>20</v>
      </c>
      <c r="I127" t="s">
        <v>16</v>
      </c>
      <c r="J127" s="1"/>
    </row>
    <row r="128" spans="1:10" x14ac:dyDescent="0.35">
      <c r="A128" t="s">
        <v>104</v>
      </c>
      <c r="B128">
        <v>59</v>
      </c>
      <c r="C128">
        <v>80</v>
      </c>
      <c r="D128">
        <v>91</v>
      </c>
      <c r="E128">
        <v>99.7</v>
      </c>
      <c r="F128" t="s">
        <v>15</v>
      </c>
      <c r="G128" t="s">
        <v>11</v>
      </c>
      <c r="H128" t="s">
        <v>12</v>
      </c>
      <c r="I128" t="s">
        <v>13</v>
      </c>
      <c r="J128" s="1"/>
    </row>
    <row r="129" spans="1:10" x14ac:dyDescent="0.35">
      <c r="A129" t="s">
        <v>105</v>
      </c>
      <c r="B129">
        <v>97</v>
      </c>
      <c r="C129">
        <v>92</v>
      </c>
      <c r="D129">
        <v>91</v>
      </c>
      <c r="E129">
        <v>63.95</v>
      </c>
      <c r="F129" t="s">
        <v>10</v>
      </c>
      <c r="G129" t="s">
        <v>11</v>
      </c>
      <c r="H129" t="s">
        <v>20</v>
      </c>
      <c r="I129" t="s">
        <v>30</v>
      </c>
      <c r="J129" s="1"/>
    </row>
    <row r="130" spans="1:10" x14ac:dyDescent="0.35">
      <c r="A130" t="s">
        <v>106</v>
      </c>
      <c r="B130">
        <v>46</v>
      </c>
      <c r="C130">
        <v>57</v>
      </c>
      <c r="D130">
        <v>49</v>
      </c>
      <c r="E130">
        <v>68.819999999999993</v>
      </c>
      <c r="F130" t="s">
        <v>10</v>
      </c>
      <c r="G130" t="s">
        <v>32</v>
      </c>
      <c r="H130" t="s">
        <v>23</v>
      </c>
      <c r="I130" t="s">
        <v>13</v>
      </c>
      <c r="J130" s="1"/>
    </row>
    <row r="131" spans="1:10" x14ac:dyDescent="0.35">
      <c r="A131" t="s">
        <v>107</v>
      </c>
      <c r="B131">
        <v>52</v>
      </c>
      <c r="C131">
        <v>85</v>
      </c>
      <c r="D131">
        <v>95</v>
      </c>
      <c r="E131">
        <v>72.91</v>
      </c>
      <c r="F131" t="s">
        <v>15</v>
      </c>
      <c r="G131" t="s">
        <v>18</v>
      </c>
      <c r="H131" t="s">
        <v>23</v>
      </c>
      <c r="I131" t="s">
        <v>24</v>
      </c>
      <c r="J131" s="1"/>
    </row>
    <row r="132" spans="1:10" x14ac:dyDescent="0.35">
      <c r="A132" t="s">
        <v>108</v>
      </c>
      <c r="B132">
        <v>94</v>
      </c>
      <c r="C132">
        <v>62</v>
      </c>
      <c r="D132">
        <v>89</v>
      </c>
      <c r="E132">
        <v>65.91</v>
      </c>
      <c r="F132" t="s">
        <v>10</v>
      </c>
      <c r="G132" t="s">
        <v>11</v>
      </c>
      <c r="H132" t="s">
        <v>12</v>
      </c>
      <c r="I132" t="s">
        <v>30</v>
      </c>
      <c r="J132" s="1"/>
    </row>
    <row r="133" spans="1:10" x14ac:dyDescent="0.35">
      <c r="A133" t="s">
        <v>109</v>
      </c>
      <c r="B133">
        <v>67</v>
      </c>
      <c r="C133">
        <v>93</v>
      </c>
      <c r="D133">
        <v>48</v>
      </c>
      <c r="E133">
        <v>71.37</v>
      </c>
      <c r="F133" t="s">
        <v>15</v>
      </c>
      <c r="G133" t="s">
        <v>22</v>
      </c>
      <c r="H133" t="s">
        <v>12</v>
      </c>
      <c r="I133" t="s">
        <v>13</v>
      </c>
      <c r="J133" s="1"/>
    </row>
    <row r="134" spans="1:10" x14ac:dyDescent="0.35">
      <c r="A134" t="s">
        <v>110</v>
      </c>
      <c r="B134">
        <v>78</v>
      </c>
      <c r="C134">
        <v>65</v>
      </c>
      <c r="D134">
        <v>40</v>
      </c>
      <c r="E134">
        <v>91.17</v>
      </c>
      <c r="F134" t="s">
        <v>10</v>
      </c>
      <c r="G134" t="s">
        <v>22</v>
      </c>
      <c r="H134" t="s">
        <v>12</v>
      </c>
      <c r="I134" t="s">
        <v>13</v>
      </c>
      <c r="J134" s="1"/>
    </row>
    <row r="135" spans="1:10" x14ac:dyDescent="0.35">
      <c r="A135" t="s">
        <v>111</v>
      </c>
      <c r="B135">
        <v>57</v>
      </c>
      <c r="C135">
        <v>50</v>
      </c>
      <c r="D135">
        <v>73</v>
      </c>
      <c r="E135">
        <v>80.92</v>
      </c>
      <c r="F135" t="s">
        <v>10</v>
      </c>
      <c r="G135" t="s">
        <v>32</v>
      </c>
      <c r="H135" t="s">
        <v>12</v>
      </c>
      <c r="I135" t="s">
        <v>13</v>
      </c>
      <c r="J135" s="1"/>
    </row>
    <row r="136" spans="1:10" x14ac:dyDescent="0.35">
      <c r="A136" t="s">
        <v>112</v>
      </c>
      <c r="B136">
        <v>86</v>
      </c>
      <c r="C136">
        <v>87</v>
      </c>
      <c r="D136">
        <v>70</v>
      </c>
      <c r="E136">
        <v>61.36</v>
      </c>
      <c r="F136" t="s">
        <v>15</v>
      </c>
      <c r="G136" t="s">
        <v>22</v>
      </c>
      <c r="H136" t="s">
        <v>23</v>
      </c>
      <c r="I136" t="s">
        <v>13</v>
      </c>
      <c r="J136" s="1"/>
    </row>
    <row r="137" spans="1:10" x14ac:dyDescent="0.35">
      <c r="A137" t="s">
        <v>113</v>
      </c>
      <c r="B137">
        <v>50</v>
      </c>
      <c r="C137">
        <v>40</v>
      </c>
      <c r="D137">
        <v>60</v>
      </c>
      <c r="E137">
        <v>99.3</v>
      </c>
      <c r="F137" t="s">
        <v>10</v>
      </c>
      <c r="G137" t="s">
        <v>18</v>
      </c>
      <c r="H137" t="s">
        <v>23</v>
      </c>
      <c r="I137" t="s">
        <v>16</v>
      </c>
      <c r="J137" s="1"/>
    </row>
    <row r="138" spans="1:10" x14ac:dyDescent="0.35">
      <c r="A138" t="s">
        <v>114</v>
      </c>
      <c r="B138">
        <v>75</v>
      </c>
      <c r="C138">
        <v>75</v>
      </c>
      <c r="D138">
        <v>63</v>
      </c>
      <c r="E138">
        <v>84.64</v>
      </c>
      <c r="F138" t="s">
        <v>10</v>
      </c>
      <c r="G138" t="s">
        <v>11</v>
      </c>
      <c r="H138" t="s">
        <v>23</v>
      </c>
      <c r="I138" t="s">
        <v>13</v>
      </c>
      <c r="J138" s="1"/>
    </row>
    <row r="139" spans="1:10" x14ac:dyDescent="0.35">
      <c r="A139" t="s">
        <v>115</v>
      </c>
      <c r="B139">
        <v>92</v>
      </c>
      <c r="C139">
        <v>89</v>
      </c>
      <c r="D139">
        <v>58</v>
      </c>
      <c r="E139">
        <v>62.36</v>
      </c>
      <c r="F139" t="s">
        <v>10</v>
      </c>
      <c r="G139" t="s">
        <v>32</v>
      </c>
      <c r="H139" t="s">
        <v>20</v>
      </c>
      <c r="I139" t="s">
        <v>13</v>
      </c>
      <c r="J139" s="1"/>
    </row>
    <row r="140" spans="1:10" x14ac:dyDescent="0.35">
      <c r="A140" t="s">
        <v>116</v>
      </c>
      <c r="B140">
        <v>75</v>
      </c>
      <c r="C140">
        <v>59</v>
      </c>
      <c r="D140">
        <v>100</v>
      </c>
      <c r="E140">
        <v>86.45</v>
      </c>
      <c r="F140" t="s">
        <v>15</v>
      </c>
      <c r="G140" t="s">
        <v>32</v>
      </c>
      <c r="H140" t="s">
        <v>20</v>
      </c>
      <c r="I140" t="s">
        <v>16</v>
      </c>
      <c r="J140" s="1"/>
    </row>
    <row r="141" spans="1:10" x14ac:dyDescent="0.35">
      <c r="A141" t="s">
        <v>117</v>
      </c>
      <c r="B141">
        <v>41</v>
      </c>
      <c r="C141">
        <v>70</v>
      </c>
      <c r="D141">
        <v>87</v>
      </c>
      <c r="E141">
        <v>75.13</v>
      </c>
      <c r="F141" t="s">
        <v>15</v>
      </c>
      <c r="G141" t="s">
        <v>32</v>
      </c>
      <c r="H141" t="s">
        <v>20</v>
      </c>
      <c r="I141" t="s">
        <v>13</v>
      </c>
      <c r="J141" s="1"/>
    </row>
    <row r="142" spans="1:10" x14ac:dyDescent="0.35">
      <c r="A142" t="s">
        <v>118</v>
      </c>
      <c r="B142">
        <v>87</v>
      </c>
      <c r="C142">
        <v>47</v>
      </c>
      <c r="D142">
        <v>99</v>
      </c>
      <c r="E142">
        <v>65.430000000000007</v>
      </c>
      <c r="F142" t="s">
        <v>10</v>
      </c>
      <c r="G142" t="s">
        <v>18</v>
      </c>
      <c r="H142" t="s">
        <v>23</v>
      </c>
      <c r="I142" t="s">
        <v>13</v>
      </c>
      <c r="J142" s="1"/>
    </row>
    <row r="143" spans="1:10" x14ac:dyDescent="0.35">
      <c r="A143" t="s">
        <v>119</v>
      </c>
      <c r="B143">
        <v>85</v>
      </c>
      <c r="C143">
        <v>79</v>
      </c>
      <c r="D143">
        <v>99</v>
      </c>
      <c r="E143">
        <v>82.55</v>
      </c>
      <c r="F143" t="s">
        <v>15</v>
      </c>
      <c r="G143" t="s">
        <v>22</v>
      </c>
      <c r="H143" t="s">
        <v>12</v>
      </c>
      <c r="I143" t="s">
        <v>13</v>
      </c>
      <c r="J143" s="1"/>
    </row>
    <row r="144" spans="1:10" x14ac:dyDescent="0.35">
      <c r="A144" t="s">
        <v>120</v>
      </c>
      <c r="B144">
        <v>56</v>
      </c>
      <c r="C144">
        <v>63</v>
      </c>
      <c r="D144">
        <v>60</v>
      </c>
      <c r="E144">
        <v>89.08</v>
      </c>
      <c r="F144" t="s">
        <v>10</v>
      </c>
      <c r="G144" t="s">
        <v>22</v>
      </c>
      <c r="H144" t="s">
        <v>12</v>
      </c>
      <c r="I144" t="s">
        <v>16</v>
      </c>
      <c r="J144" s="1"/>
    </row>
    <row r="145" spans="1:10" x14ac:dyDescent="0.35">
      <c r="A145" t="s">
        <v>121</v>
      </c>
      <c r="B145">
        <v>45</v>
      </c>
      <c r="C145">
        <v>93</v>
      </c>
      <c r="D145">
        <v>64</v>
      </c>
      <c r="E145">
        <v>86.85</v>
      </c>
      <c r="F145" t="s">
        <v>15</v>
      </c>
      <c r="G145" t="s">
        <v>18</v>
      </c>
      <c r="H145" t="s">
        <v>20</v>
      </c>
      <c r="I145" t="s">
        <v>24</v>
      </c>
      <c r="J145" s="1"/>
    </row>
    <row r="146" spans="1:10" x14ac:dyDescent="0.35">
      <c r="A146" t="s">
        <v>122</v>
      </c>
      <c r="B146">
        <v>80</v>
      </c>
      <c r="C146">
        <v>59</v>
      </c>
      <c r="D146">
        <v>59</v>
      </c>
      <c r="E146">
        <v>69.900000000000006</v>
      </c>
      <c r="F146" t="s">
        <v>10</v>
      </c>
      <c r="G146" t="s">
        <v>22</v>
      </c>
      <c r="H146" t="s">
        <v>20</v>
      </c>
      <c r="I146" t="s">
        <v>24</v>
      </c>
      <c r="J146" s="1"/>
    </row>
    <row r="147" spans="1:10" x14ac:dyDescent="0.35">
      <c r="A147" t="s">
        <v>123</v>
      </c>
      <c r="B147">
        <v>85</v>
      </c>
      <c r="C147">
        <v>94</v>
      </c>
      <c r="D147">
        <v>92</v>
      </c>
      <c r="E147">
        <v>80.989999999999995</v>
      </c>
      <c r="F147" t="s">
        <v>10</v>
      </c>
      <c r="G147" t="s">
        <v>11</v>
      </c>
      <c r="H147" t="s">
        <v>12</v>
      </c>
      <c r="I147" t="s">
        <v>16</v>
      </c>
      <c r="J147" s="1"/>
    </row>
    <row r="148" spans="1:10" x14ac:dyDescent="0.35">
      <c r="A148" t="s">
        <v>124</v>
      </c>
      <c r="B148">
        <v>62</v>
      </c>
      <c r="C148">
        <v>54</v>
      </c>
      <c r="D148">
        <v>65</v>
      </c>
      <c r="E148">
        <v>81.510000000000005</v>
      </c>
      <c r="F148" t="s">
        <v>15</v>
      </c>
      <c r="G148" t="s">
        <v>18</v>
      </c>
      <c r="H148" t="s">
        <v>20</v>
      </c>
      <c r="I148" t="s">
        <v>24</v>
      </c>
      <c r="J148" s="1"/>
    </row>
    <row r="149" spans="1:10" x14ac:dyDescent="0.35">
      <c r="A149" t="s">
        <v>125</v>
      </c>
      <c r="B149">
        <v>86</v>
      </c>
      <c r="C149">
        <v>69</v>
      </c>
      <c r="D149">
        <v>46</v>
      </c>
      <c r="E149">
        <v>88.67</v>
      </c>
      <c r="F149" t="s">
        <v>10</v>
      </c>
      <c r="G149" t="s">
        <v>32</v>
      </c>
      <c r="H149" t="s">
        <v>20</v>
      </c>
      <c r="I149" t="s">
        <v>24</v>
      </c>
      <c r="J149" s="1"/>
    </row>
    <row r="150" spans="1:10" x14ac:dyDescent="0.35">
      <c r="A150" t="s">
        <v>126</v>
      </c>
      <c r="B150">
        <v>55</v>
      </c>
      <c r="C150">
        <v>59</v>
      </c>
      <c r="D150">
        <v>42</v>
      </c>
      <c r="E150">
        <v>74.39</v>
      </c>
      <c r="F150" t="s">
        <v>10</v>
      </c>
      <c r="G150" t="s">
        <v>18</v>
      </c>
      <c r="H150" t="s">
        <v>23</v>
      </c>
      <c r="I150" t="s">
        <v>16</v>
      </c>
      <c r="J150" s="1"/>
    </row>
    <row r="151" spans="1:10" x14ac:dyDescent="0.35">
      <c r="A151" t="s">
        <v>127</v>
      </c>
      <c r="B151">
        <v>99</v>
      </c>
      <c r="C151">
        <v>77</v>
      </c>
      <c r="D151">
        <v>79</v>
      </c>
      <c r="E151">
        <v>91.91</v>
      </c>
      <c r="F151" t="s">
        <v>10</v>
      </c>
      <c r="G151" t="s">
        <v>11</v>
      </c>
      <c r="H151" t="s">
        <v>20</v>
      </c>
      <c r="I151" t="s">
        <v>30</v>
      </c>
      <c r="J151" s="1"/>
    </row>
    <row r="152" spans="1:10" x14ac:dyDescent="0.35">
      <c r="A152" t="s">
        <v>128</v>
      </c>
      <c r="B152">
        <v>80</v>
      </c>
      <c r="C152">
        <v>41</v>
      </c>
      <c r="D152">
        <v>95</v>
      </c>
      <c r="E152">
        <v>85.12</v>
      </c>
      <c r="F152" t="s">
        <v>15</v>
      </c>
      <c r="G152" t="s">
        <v>32</v>
      </c>
      <c r="H152" t="s">
        <v>23</v>
      </c>
      <c r="I152" t="s">
        <v>16</v>
      </c>
      <c r="J152" s="1"/>
    </row>
    <row r="153" spans="1:10" x14ac:dyDescent="0.35">
      <c r="A153" t="s">
        <v>129</v>
      </c>
      <c r="B153">
        <v>65</v>
      </c>
      <c r="C153">
        <v>45</v>
      </c>
      <c r="D153">
        <v>87</v>
      </c>
      <c r="E153">
        <v>61.53</v>
      </c>
      <c r="F153" t="s">
        <v>15</v>
      </c>
      <c r="G153" t="s">
        <v>32</v>
      </c>
      <c r="H153" t="s">
        <v>23</v>
      </c>
      <c r="I153" t="s">
        <v>24</v>
      </c>
      <c r="J153" s="1"/>
    </row>
    <row r="154" spans="1:10" x14ac:dyDescent="0.35">
      <c r="A154" t="s">
        <v>130</v>
      </c>
      <c r="B154">
        <v>85</v>
      </c>
      <c r="C154">
        <v>81</v>
      </c>
      <c r="D154">
        <v>47</v>
      </c>
      <c r="E154">
        <v>81.86</v>
      </c>
      <c r="F154" t="s">
        <v>10</v>
      </c>
      <c r="G154" t="s">
        <v>22</v>
      </c>
      <c r="H154" t="s">
        <v>20</v>
      </c>
      <c r="I154" t="s">
        <v>24</v>
      </c>
      <c r="J154" s="1"/>
    </row>
    <row r="155" spans="1:10" x14ac:dyDescent="0.35">
      <c r="A155" t="s">
        <v>131</v>
      </c>
      <c r="B155">
        <v>89</v>
      </c>
      <c r="C155">
        <v>57</v>
      </c>
      <c r="D155">
        <v>92</v>
      </c>
      <c r="E155">
        <v>94.48</v>
      </c>
      <c r="F155" t="s">
        <v>10</v>
      </c>
      <c r="G155" t="s">
        <v>22</v>
      </c>
      <c r="H155" t="s">
        <v>23</v>
      </c>
      <c r="I155" t="s">
        <v>13</v>
      </c>
      <c r="J155" s="1"/>
    </row>
    <row r="156" spans="1:10" x14ac:dyDescent="0.35">
      <c r="A156" t="s">
        <v>132</v>
      </c>
      <c r="B156">
        <v>40</v>
      </c>
      <c r="C156">
        <v>75</v>
      </c>
      <c r="D156">
        <v>69</v>
      </c>
      <c r="E156">
        <v>82.7</v>
      </c>
      <c r="F156" t="s">
        <v>15</v>
      </c>
      <c r="G156" t="s">
        <v>22</v>
      </c>
      <c r="H156" t="s">
        <v>23</v>
      </c>
      <c r="I156" t="s">
        <v>30</v>
      </c>
      <c r="J156" s="1"/>
    </row>
    <row r="157" spans="1:10" x14ac:dyDescent="0.35">
      <c r="A157" t="s">
        <v>133</v>
      </c>
      <c r="B157">
        <v>75</v>
      </c>
      <c r="C157">
        <v>53</v>
      </c>
      <c r="D157">
        <v>50</v>
      </c>
      <c r="E157">
        <v>67.03</v>
      </c>
      <c r="F157" t="s">
        <v>10</v>
      </c>
      <c r="G157" t="s">
        <v>22</v>
      </c>
      <c r="H157" t="s">
        <v>23</v>
      </c>
      <c r="I157" t="s">
        <v>24</v>
      </c>
      <c r="J157" s="1"/>
    </row>
    <row r="158" spans="1:10" x14ac:dyDescent="0.35">
      <c r="A158" t="s">
        <v>134</v>
      </c>
      <c r="B158">
        <v>69</v>
      </c>
      <c r="C158">
        <v>65</v>
      </c>
      <c r="D158">
        <v>47</v>
      </c>
      <c r="E158">
        <v>80.42</v>
      </c>
      <c r="F158" t="s">
        <v>10</v>
      </c>
      <c r="G158" t="s">
        <v>11</v>
      </c>
      <c r="H158" t="s">
        <v>12</v>
      </c>
      <c r="I158" t="s">
        <v>13</v>
      </c>
      <c r="J158" s="1"/>
    </row>
    <row r="159" spans="1:10" x14ac:dyDescent="0.35">
      <c r="A159" t="s">
        <v>135</v>
      </c>
      <c r="B159">
        <v>41</v>
      </c>
      <c r="C159">
        <v>73</v>
      </c>
      <c r="D159">
        <v>96</v>
      </c>
      <c r="E159">
        <v>90.28</v>
      </c>
      <c r="F159" t="s">
        <v>15</v>
      </c>
      <c r="G159" t="s">
        <v>11</v>
      </c>
      <c r="H159" t="s">
        <v>20</v>
      </c>
      <c r="I159" t="s">
        <v>30</v>
      </c>
      <c r="J159" s="1"/>
    </row>
    <row r="160" spans="1:10" x14ac:dyDescent="0.35">
      <c r="A160" t="s">
        <v>136</v>
      </c>
      <c r="B160">
        <v>59</v>
      </c>
      <c r="C160">
        <v>93</v>
      </c>
      <c r="D160">
        <v>76</v>
      </c>
      <c r="E160">
        <v>64.400000000000006</v>
      </c>
      <c r="F160" t="s">
        <v>10</v>
      </c>
      <c r="G160" t="s">
        <v>11</v>
      </c>
      <c r="H160" t="s">
        <v>12</v>
      </c>
      <c r="I160" t="s">
        <v>24</v>
      </c>
      <c r="J160" s="1"/>
    </row>
    <row r="161" spans="1:10" x14ac:dyDescent="0.35">
      <c r="A161" t="s">
        <v>137</v>
      </c>
      <c r="B161">
        <v>44</v>
      </c>
      <c r="C161">
        <v>69</v>
      </c>
      <c r="D161">
        <v>56</v>
      </c>
      <c r="E161">
        <v>92.68</v>
      </c>
      <c r="F161" t="s">
        <v>10</v>
      </c>
      <c r="G161" t="s">
        <v>22</v>
      </c>
      <c r="H161" t="s">
        <v>23</v>
      </c>
      <c r="I161" t="s">
        <v>30</v>
      </c>
      <c r="J161" s="1"/>
    </row>
    <row r="162" spans="1:10" x14ac:dyDescent="0.35">
      <c r="A162" t="s">
        <v>138</v>
      </c>
      <c r="B162">
        <v>70</v>
      </c>
      <c r="C162">
        <v>46</v>
      </c>
      <c r="D162">
        <v>47</v>
      </c>
      <c r="E162">
        <v>66.7</v>
      </c>
      <c r="F162" t="s">
        <v>15</v>
      </c>
      <c r="G162" t="s">
        <v>22</v>
      </c>
      <c r="H162" t="s">
        <v>23</v>
      </c>
      <c r="I162" t="s">
        <v>13</v>
      </c>
      <c r="J162" s="1"/>
    </row>
    <row r="163" spans="1:10" x14ac:dyDescent="0.35">
      <c r="A163" t="s">
        <v>139</v>
      </c>
      <c r="B163">
        <v>47</v>
      </c>
      <c r="C163">
        <v>98</v>
      </c>
      <c r="D163">
        <v>86</v>
      </c>
      <c r="E163">
        <v>81.36</v>
      </c>
      <c r="F163" t="s">
        <v>10</v>
      </c>
      <c r="G163" t="s">
        <v>22</v>
      </c>
      <c r="H163" t="s">
        <v>12</v>
      </c>
      <c r="I163" t="s">
        <v>24</v>
      </c>
      <c r="J163" s="1"/>
    </row>
    <row r="164" spans="1:10" x14ac:dyDescent="0.35">
      <c r="A164" t="s">
        <v>140</v>
      </c>
      <c r="B164">
        <v>69</v>
      </c>
      <c r="C164">
        <v>69</v>
      </c>
      <c r="D164">
        <v>83</v>
      </c>
      <c r="E164">
        <v>75.430000000000007</v>
      </c>
      <c r="F164" t="s">
        <v>10</v>
      </c>
      <c r="G164" t="s">
        <v>32</v>
      </c>
      <c r="H164" t="s">
        <v>23</v>
      </c>
      <c r="I164" t="s">
        <v>16</v>
      </c>
      <c r="J164" s="1"/>
    </row>
    <row r="165" spans="1:10" x14ac:dyDescent="0.35">
      <c r="A165" t="s">
        <v>141</v>
      </c>
      <c r="B165">
        <v>78</v>
      </c>
      <c r="C165">
        <v>57</v>
      </c>
      <c r="D165">
        <v>69</v>
      </c>
      <c r="E165">
        <v>69.94</v>
      </c>
      <c r="F165" t="s">
        <v>10</v>
      </c>
      <c r="G165" t="s">
        <v>32</v>
      </c>
      <c r="H165" t="s">
        <v>23</v>
      </c>
      <c r="I165" t="s">
        <v>16</v>
      </c>
      <c r="J165" s="1"/>
    </row>
    <row r="166" spans="1:10" x14ac:dyDescent="0.35">
      <c r="A166" t="s">
        <v>142</v>
      </c>
      <c r="B166">
        <v>100</v>
      </c>
      <c r="C166">
        <v>61</v>
      </c>
      <c r="D166">
        <v>82</v>
      </c>
      <c r="E166">
        <v>85.9</v>
      </c>
      <c r="F166" t="s">
        <v>10</v>
      </c>
      <c r="G166" t="s">
        <v>18</v>
      </c>
      <c r="H166" t="s">
        <v>20</v>
      </c>
      <c r="I166" t="s">
        <v>24</v>
      </c>
      <c r="J166" s="1"/>
    </row>
    <row r="167" spans="1:10" x14ac:dyDescent="0.35">
      <c r="A167" t="s">
        <v>143</v>
      </c>
      <c r="B167">
        <v>41</v>
      </c>
      <c r="C167">
        <v>56</v>
      </c>
      <c r="D167">
        <v>82</v>
      </c>
      <c r="E167">
        <v>61.5</v>
      </c>
      <c r="F167" t="s">
        <v>10</v>
      </c>
      <c r="G167" t="s">
        <v>22</v>
      </c>
      <c r="H167" t="s">
        <v>23</v>
      </c>
      <c r="I167" t="s">
        <v>24</v>
      </c>
      <c r="J167" s="1"/>
    </row>
    <row r="168" spans="1:10" x14ac:dyDescent="0.35">
      <c r="A168" t="s">
        <v>144</v>
      </c>
      <c r="B168">
        <v>92</v>
      </c>
      <c r="C168">
        <v>70</v>
      </c>
      <c r="D168">
        <v>55</v>
      </c>
      <c r="E168">
        <v>90.4</v>
      </c>
      <c r="F168" t="s">
        <v>10</v>
      </c>
      <c r="G168" t="s">
        <v>18</v>
      </c>
      <c r="H168" t="s">
        <v>12</v>
      </c>
      <c r="I168" t="s">
        <v>13</v>
      </c>
      <c r="J168" s="1"/>
    </row>
    <row r="169" spans="1:10" x14ac:dyDescent="0.35">
      <c r="A169" t="s">
        <v>145</v>
      </c>
      <c r="B169">
        <v>52</v>
      </c>
      <c r="C169">
        <v>95</v>
      </c>
      <c r="D169">
        <v>94</v>
      </c>
      <c r="E169">
        <v>81.08</v>
      </c>
      <c r="F169" t="s">
        <v>15</v>
      </c>
      <c r="G169" t="s">
        <v>22</v>
      </c>
      <c r="H169" t="s">
        <v>20</v>
      </c>
      <c r="I169" t="s">
        <v>13</v>
      </c>
      <c r="J169" s="1"/>
    </row>
    <row r="170" spans="1:10" x14ac:dyDescent="0.35">
      <c r="A170" t="s">
        <v>146</v>
      </c>
      <c r="B170">
        <v>43</v>
      </c>
      <c r="C170">
        <v>56</v>
      </c>
      <c r="D170">
        <v>43</v>
      </c>
      <c r="E170">
        <v>95.03</v>
      </c>
      <c r="F170" t="s">
        <v>10</v>
      </c>
      <c r="G170" t="s">
        <v>22</v>
      </c>
      <c r="H170" t="s">
        <v>23</v>
      </c>
      <c r="I170" t="s">
        <v>13</v>
      </c>
      <c r="J170" s="1"/>
    </row>
    <row r="171" spans="1:10" x14ac:dyDescent="0.35">
      <c r="A171" t="s">
        <v>147</v>
      </c>
      <c r="B171">
        <v>84</v>
      </c>
      <c r="C171">
        <v>70</v>
      </c>
      <c r="D171">
        <v>60</v>
      </c>
      <c r="E171">
        <v>80.83</v>
      </c>
      <c r="F171" t="s">
        <v>15</v>
      </c>
      <c r="G171" t="s">
        <v>32</v>
      </c>
      <c r="H171" t="s">
        <v>20</v>
      </c>
      <c r="I171" t="s">
        <v>24</v>
      </c>
      <c r="J171" s="1"/>
    </row>
    <row r="172" spans="1:10" x14ac:dyDescent="0.35">
      <c r="A172" t="s">
        <v>148</v>
      </c>
      <c r="B172">
        <v>91</v>
      </c>
      <c r="C172">
        <v>52</v>
      </c>
      <c r="D172">
        <v>89</v>
      </c>
      <c r="E172">
        <v>61.4</v>
      </c>
      <c r="F172" t="s">
        <v>10</v>
      </c>
      <c r="G172" t="s">
        <v>11</v>
      </c>
      <c r="H172" t="s">
        <v>12</v>
      </c>
      <c r="I172" t="s">
        <v>30</v>
      </c>
      <c r="J172" s="1"/>
    </row>
    <row r="173" spans="1:10" x14ac:dyDescent="0.35">
      <c r="A173" t="s">
        <v>149</v>
      </c>
      <c r="B173">
        <v>47</v>
      </c>
      <c r="C173">
        <v>66</v>
      </c>
      <c r="D173">
        <v>73</v>
      </c>
      <c r="E173">
        <v>65.739999999999995</v>
      </c>
      <c r="F173" t="s">
        <v>15</v>
      </c>
      <c r="G173" t="s">
        <v>11</v>
      </c>
      <c r="H173" t="s">
        <v>23</v>
      </c>
      <c r="I173" t="s">
        <v>30</v>
      </c>
      <c r="J173" s="1"/>
    </row>
    <row r="174" spans="1:10" x14ac:dyDescent="0.35">
      <c r="A174" t="s">
        <v>150</v>
      </c>
      <c r="B174">
        <v>78</v>
      </c>
      <c r="C174">
        <v>59</v>
      </c>
      <c r="D174">
        <v>79</v>
      </c>
      <c r="E174">
        <v>91.82</v>
      </c>
      <c r="F174" t="s">
        <v>10</v>
      </c>
      <c r="G174" t="s">
        <v>32</v>
      </c>
      <c r="H174" t="s">
        <v>23</v>
      </c>
      <c r="I174" t="s">
        <v>24</v>
      </c>
      <c r="J174" s="1"/>
    </row>
    <row r="175" spans="1:10" x14ac:dyDescent="0.35">
      <c r="A175" t="s">
        <v>151</v>
      </c>
      <c r="B175">
        <v>64</v>
      </c>
      <c r="C175">
        <v>56</v>
      </c>
      <c r="D175">
        <v>74</v>
      </c>
      <c r="E175">
        <v>79.680000000000007</v>
      </c>
      <c r="F175" t="s">
        <v>15</v>
      </c>
      <c r="G175" t="s">
        <v>18</v>
      </c>
      <c r="H175" t="s">
        <v>23</v>
      </c>
      <c r="I175" t="s">
        <v>30</v>
      </c>
      <c r="J175" s="1"/>
    </row>
    <row r="176" spans="1:10" x14ac:dyDescent="0.35">
      <c r="A176" t="s">
        <v>152</v>
      </c>
      <c r="B176">
        <v>46</v>
      </c>
      <c r="C176">
        <v>68</v>
      </c>
      <c r="D176">
        <v>52</v>
      </c>
      <c r="E176">
        <v>77.680000000000007</v>
      </c>
      <c r="F176" t="s">
        <v>10</v>
      </c>
      <c r="G176" t="s">
        <v>32</v>
      </c>
      <c r="H176" t="s">
        <v>12</v>
      </c>
      <c r="I176" t="s">
        <v>16</v>
      </c>
      <c r="J176" s="1"/>
    </row>
    <row r="177" spans="1:10" x14ac:dyDescent="0.35">
      <c r="A177" t="s">
        <v>153</v>
      </c>
      <c r="B177">
        <v>53</v>
      </c>
      <c r="C177">
        <v>78</v>
      </c>
      <c r="D177">
        <v>82</v>
      </c>
      <c r="E177">
        <v>72.739999999999995</v>
      </c>
      <c r="F177" t="s">
        <v>10</v>
      </c>
      <c r="G177" t="s">
        <v>18</v>
      </c>
      <c r="H177" t="s">
        <v>20</v>
      </c>
      <c r="I177" t="s">
        <v>24</v>
      </c>
      <c r="J177" s="1"/>
    </row>
    <row r="178" spans="1:10" x14ac:dyDescent="0.35">
      <c r="A178" t="s">
        <v>154</v>
      </c>
      <c r="B178">
        <v>68</v>
      </c>
      <c r="C178">
        <v>74</v>
      </c>
      <c r="D178">
        <v>66</v>
      </c>
      <c r="E178">
        <v>71.38</v>
      </c>
      <c r="F178" t="s">
        <v>15</v>
      </c>
      <c r="G178" t="s">
        <v>22</v>
      </c>
      <c r="H178" t="s">
        <v>12</v>
      </c>
      <c r="I178" t="s">
        <v>16</v>
      </c>
      <c r="J178" s="1"/>
    </row>
    <row r="179" spans="1:10" x14ac:dyDescent="0.35">
      <c r="A179" t="s">
        <v>155</v>
      </c>
      <c r="B179">
        <v>84</v>
      </c>
      <c r="C179">
        <v>47</v>
      </c>
      <c r="D179">
        <v>47</v>
      </c>
      <c r="E179">
        <v>98.64</v>
      </c>
      <c r="F179" t="s">
        <v>15</v>
      </c>
      <c r="G179" t="s">
        <v>22</v>
      </c>
      <c r="H179" t="s">
        <v>23</v>
      </c>
      <c r="I179" t="s">
        <v>16</v>
      </c>
      <c r="J179" s="1"/>
    </row>
    <row r="180" spans="1:10" x14ac:dyDescent="0.35">
      <c r="A180" t="s">
        <v>156</v>
      </c>
      <c r="B180">
        <v>60</v>
      </c>
      <c r="C180">
        <v>82</v>
      </c>
      <c r="D180">
        <v>80</v>
      </c>
      <c r="E180">
        <v>77.319999999999993</v>
      </c>
      <c r="F180" t="s">
        <v>15</v>
      </c>
      <c r="G180" t="s">
        <v>22</v>
      </c>
      <c r="H180" t="s">
        <v>12</v>
      </c>
      <c r="I180" t="s">
        <v>16</v>
      </c>
      <c r="J180" s="1"/>
    </row>
    <row r="181" spans="1:10" x14ac:dyDescent="0.35">
      <c r="A181" t="s">
        <v>157</v>
      </c>
      <c r="B181">
        <v>76</v>
      </c>
      <c r="C181">
        <v>77</v>
      </c>
      <c r="D181">
        <v>81</v>
      </c>
      <c r="E181">
        <v>95.36</v>
      </c>
      <c r="F181" t="s">
        <v>10</v>
      </c>
      <c r="G181" t="s">
        <v>32</v>
      </c>
      <c r="H181" t="s">
        <v>23</v>
      </c>
      <c r="I181" t="s">
        <v>13</v>
      </c>
      <c r="J181" s="1"/>
    </row>
    <row r="182" spans="1:10" x14ac:dyDescent="0.35">
      <c r="A182" t="s">
        <v>158</v>
      </c>
      <c r="B182">
        <v>95</v>
      </c>
      <c r="C182">
        <v>54</v>
      </c>
      <c r="D182">
        <v>68</v>
      </c>
      <c r="E182">
        <v>85.93</v>
      </c>
      <c r="F182" t="s">
        <v>15</v>
      </c>
      <c r="G182" t="s">
        <v>11</v>
      </c>
      <c r="H182" t="s">
        <v>12</v>
      </c>
      <c r="I182" t="s">
        <v>16</v>
      </c>
      <c r="J182" s="1"/>
    </row>
    <row r="183" spans="1:10" x14ac:dyDescent="0.35">
      <c r="A183" t="s">
        <v>159</v>
      </c>
      <c r="B183">
        <v>88</v>
      </c>
      <c r="C183">
        <v>89</v>
      </c>
      <c r="D183">
        <v>55</v>
      </c>
      <c r="E183">
        <v>94.34</v>
      </c>
      <c r="F183" t="s">
        <v>10</v>
      </c>
      <c r="G183" t="s">
        <v>11</v>
      </c>
      <c r="H183" t="s">
        <v>23</v>
      </c>
      <c r="I183" t="s">
        <v>13</v>
      </c>
      <c r="J183" s="1"/>
    </row>
    <row r="184" spans="1:10" x14ac:dyDescent="0.35">
      <c r="A184" t="s">
        <v>160</v>
      </c>
      <c r="B184">
        <v>72</v>
      </c>
      <c r="C184">
        <v>40</v>
      </c>
      <c r="D184">
        <v>82</v>
      </c>
      <c r="E184">
        <v>94.1</v>
      </c>
      <c r="F184" t="s">
        <v>10</v>
      </c>
      <c r="G184" t="s">
        <v>11</v>
      </c>
      <c r="H184" t="s">
        <v>12</v>
      </c>
      <c r="I184" t="s">
        <v>24</v>
      </c>
      <c r="J184" s="1"/>
    </row>
    <row r="185" spans="1:10" x14ac:dyDescent="0.35">
      <c r="A185" t="s">
        <v>161</v>
      </c>
      <c r="B185">
        <v>97</v>
      </c>
      <c r="C185">
        <v>72</v>
      </c>
      <c r="D185">
        <v>92</v>
      </c>
      <c r="E185">
        <v>98.25</v>
      </c>
      <c r="F185" t="s">
        <v>10</v>
      </c>
      <c r="G185" t="s">
        <v>32</v>
      </c>
      <c r="H185" t="s">
        <v>12</v>
      </c>
      <c r="I185" t="s">
        <v>13</v>
      </c>
      <c r="J185" s="1"/>
    </row>
    <row r="186" spans="1:10" x14ac:dyDescent="0.35">
      <c r="A186" t="s">
        <v>162</v>
      </c>
      <c r="B186">
        <v>80</v>
      </c>
      <c r="C186">
        <v>42</v>
      </c>
      <c r="D186">
        <v>85</v>
      </c>
      <c r="E186">
        <v>87.92</v>
      </c>
      <c r="F186" t="s">
        <v>15</v>
      </c>
      <c r="G186" t="s">
        <v>32</v>
      </c>
      <c r="H186" t="s">
        <v>20</v>
      </c>
      <c r="I186" t="s">
        <v>30</v>
      </c>
      <c r="J186" s="1"/>
    </row>
    <row r="187" spans="1:10" x14ac:dyDescent="0.35">
      <c r="A187" t="s">
        <v>163</v>
      </c>
      <c r="B187">
        <v>64</v>
      </c>
      <c r="C187">
        <v>78</v>
      </c>
      <c r="D187">
        <v>44</v>
      </c>
      <c r="E187">
        <v>92.22</v>
      </c>
      <c r="F187" t="s">
        <v>15</v>
      </c>
      <c r="G187" t="s">
        <v>32</v>
      </c>
      <c r="H187" t="s">
        <v>12</v>
      </c>
      <c r="I187" t="s">
        <v>16</v>
      </c>
      <c r="J187" s="1"/>
    </row>
    <row r="188" spans="1:10" x14ac:dyDescent="0.35">
      <c r="A188" t="s">
        <v>164</v>
      </c>
      <c r="B188">
        <v>92</v>
      </c>
      <c r="C188">
        <v>77</v>
      </c>
      <c r="D188">
        <v>76</v>
      </c>
      <c r="E188">
        <v>89.33</v>
      </c>
      <c r="F188" t="s">
        <v>10</v>
      </c>
      <c r="G188" t="s">
        <v>32</v>
      </c>
      <c r="H188" t="s">
        <v>12</v>
      </c>
      <c r="I188" t="s">
        <v>16</v>
      </c>
      <c r="J188" s="1"/>
    </row>
    <row r="189" spans="1:10" x14ac:dyDescent="0.35">
      <c r="A189" t="s">
        <v>165</v>
      </c>
      <c r="B189">
        <v>98</v>
      </c>
      <c r="C189">
        <v>87</v>
      </c>
      <c r="D189">
        <v>79</v>
      </c>
      <c r="E189">
        <v>84.21</v>
      </c>
      <c r="F189" t="s">
        <v>15</v>
      </c>
      <c r="G189" t="s">
        <v>11</v>
      </c>
      <c r="H189" t="s">
        <v>23</v>
      </c>
      <c r="I189" t="s">
        <v>30</v>
      </c>
      <c r="J189" s="1"/>
    </row>
    <row r="190" spans="1:10" x14ac:dyDescent="0.35">
      <c r="A190" t="s">
        <v>166</v>
      </c>
      <c r="B190">
        <v>98</v>
      </c>
      <c r="C190">
        <v>54</v>
      </c>
      <c r="D190">
        <v>79</v>
      </c>
      <c r="E190">
        <v>88.69</v>
      </c>
      <c r="F190" t="s">
        <v>15</v>
      </c>
      <c r="G190" t="s">
        <v>11</v>
      </c>
      <c r="H190" t="s">
        <v>20</v>
      </c>
      <c r="I190" t="s">
        <v>13</v>
      </c>
      <c r="J190" s="1"/>
    </row>
    <row r="191" spans="1:10" x14ac:dyDescent="0.35">
      <c r="A191" t="s">
        <v>167</v>
      </c>
      <c r="B191">
        <v>85</v>
      </c>
      <c r="C191">
        <v>100</v>
      </c>
      <c r="D191">
        <v>81</v>
      </c>
      <c r="E191">
        <v>88.63</v>
      </c>
      <c r="F191" t="s">
        <v>15</v>
      </c>
      <c r="G191" t="s">
        <v>11</v>
      </c>
      <c r="H191" t="s">
        <v>12</v>
      </c>
      <c r="I191" t="s">
        <v>16</v>
      </c>
      <c r="J191" s="1"/>
    </row>
    <row r="192" spans="1:10" x14ac:dyDescent="0.35">
      <c r="A192" t="s">
        <v>168</v>
      </c>
      <c r="B192">
        <v>53</v>
      </c>
      <c r="C192">
        <v>81</v>
      </c>
      <c r="D192">
        <v>99</v>
      </c>
      <c r="E192">
        <v>61.64</v>
      </c>
      <c r="F192" t="s">
        <v>15</v>
      </c>
      <c r="G192" t="s">
        <v>18</v>
      </c>
      <c r="H192" t="s">
        <v>20</v>
      </c>
      <c r="I192" t="s">
        <v>13</v>
      </c>
      <c r="J192" s="1"/>
    </row>
    <row r="193" spans="1:10" x14ac:dyDescent="0.35">
      <c r="A193" t="s">
        <v>169</v>
      </c>
      <c r="B193">
        <v>48</v>
      </c>
      <c r="C193">
        <v>57</v>
      </c>
      <c r="D193">
        <v>49</v>
      </c>
      <c r="E193">
        <v>80.64</v>
      </c>
      <c r="F193" t="s">
        <v>10</v>
      </c>
      <c r="G193" t="s">
        <v>22</v>
      </c>
      <c r="H193" t="s">
        <v>23</v>
      </c>
      <c r="I193" t="s">
        <v>30</v>
      </c>
      <c r="J193" s="1"/>
    </row>
    <row r="194" spans="1:10" x14ac:dyDescent="0.35">
      <c r="A194" t="s">
        <v>170</v>
      </c>
      <c r="B194">
        <v>54</v>
      </c>
      <c r="C194">
        <v>77</v>
      </c>
      <c r="D194">
        <v>54</v>
      </c>
      <c r="E194">
        <v>91.71</v>
      </c>
      <c r="F194" t="s">
        <v>10</v>
      </c>
      <c r="G194" t="s">
        <v>32</v>
      </c>
      <c r="H194" t="s">
        <v>20</v>
      </c>
      <c r="I194" t="s">
        <v>16</v>
      </c>
      <c r="J194" s="1"/>
    </row>
    <row r="195" spans="1:10" x14ac:dyDescent="0.35">
      <c r="A195" t="s">
        <v>171</v>
      </c>
      <c r="B195">
        <v>46</v>
      </c>
      <c r="C195">
        <v>70</v>
      </c>
      <c r="D195">
        <v>60</v>
      </c>
      <c r="E195">
        <v>69.72</v>
      </c>
      <c r="F195" t="s">
        <v>15</v>
      </c>
      <c r="G195" t="s">
        <v>11</v>
      </c>
      <c r="H195" t="s">
        <v>23</v>
      </c>
      <c r="I195" t="s">
        <v>30</v>
      </c>
      <c r="J195" s="1"/>
    </row>
    <row r="196" spans="1:10" x14ac:dyDescent="0.35">
      <c r="A196" t="s">
        <v>172</v>
      </c>
      <c r="B196">
        <v>41</v>
      </c>
      <c r="C196">
        <v>59</v>
      </c>
      <c r="D196">
        <v>73</v>
      </c>
      <c r="E196">
        <v>78.61</v>
      </c>
      <c r="F196" t="s">
        <v>15</v>
      </c>
      <c r="G196" t="s">
        <v>18</v>
      </c>
      <c r="H196" t="s">
        <v>20</v>
      </c>
      <c r="I196" t="s">
        <v>13</v>
      </c>
      <c r="J196" s="1"/>
    </row>
    <row r="197" spans="1:10" x14ac:dyDescent="0.35">
      <c r="A197" t="s">
        <v>173</v>
      </c>
      <c r="B197">
        <v>70</v>
      </c>
      <c r="C197">
        <v>98</v>
      </c>
      <c r="D197">
        <v>61</v>
      </c>
      <c r="E197">
        <v>77.400000000000006</v>
      </c>
      <c r="F197" t="s">
        <v>10</v>
      </c>
      <c r="G197" t="s">
        <v>22</v>
      </c>
      <c r="H197" t="s">
        <v>23</v>
      </c>
      <c r="I197" t="s">
        <v>13</v>
      </c>
      <c r="J197" s="1"/>
    </row>
    <row r="198" spans="1:10" x14ac:dyDescent="0.35">
      <c r="A198" t="s">
        <v>174</v>
      </c>
      <c r="B198">
        <v>46</v>
      </c>
      <c r="C198">
        <v>46</v>
      </c>
      <c r="D198">
        <v>61</v>
      </c>
      <c r="E198">
        <v>76.11</v>
      </c>
      <c r="F198" t="s">
        <v>15</v>
      </c>
      <c r="G198" t="s">
        <v>22</v>
      </c>
      <c r="H198" t="s">
        <v>23</v>
      </c>
      <c r="I198" t="s">
        <v>13</v>
      </c>
      <c r="J198" s="1"/>
    </row>
    <row r="199" spans="1:10" x14ac:dyDescent="0.35">
      <c r="A199" t="s">
        <v>175</v>
      </c>
      <c r="B199">
        <v>80</v>
      </c>
      <c r="C199">
        <v>76</v>
      </c>
      <c r="D199">
        <v>48</v>
      </c>
      <c r="E199">
        <v>64.87</v>
      </c>
      <c r="F199" t="s">
        <v>15</v>
      </c>
      <c r="G199" t="s">
        <v>32</v>
      </c>
      <c r="H199" t="s">
        <v>20</v>
      </c>
      <c r="I199" t="s">
        <v>24</v>
      </c>
      <c r="J199" s="1"/>
    </row>
    <row r="200" spans="1:10" x14ac:dyDescent="0.35">
      <c r="A200" t="s">
        <v>176</v>
      </c>
      <c r="B200">
        <v>95</v>
      </c>
      <c r="C200">
        <v>66</v>
      </c>
      <c r="D200">
        <v>65</v>
      </c>
      <c r="E200">
        <v>81.03</v>
      </c>
      <c r="F200" t="s">
        <v>15</v>
      </c>
      <c r="G200" t="s">
        <v>22</v>
      </c>
      <c r="H200" t="s">
        <v>20</v>
      </c>
      <c r="I200" t="s">
        <v>30</v>
      </c>
      <c r="J200" s="1"/>
    </row>
    <row r="201" spans="1:10" x14ac:dyDescent="0.35">
      <c r="A201" t="s">
        <v>177</v>
      </c>
      <c r="B201">
        <v>50</v>
      </c>
      <c r="C201">
        <v>47</v>
      </c>
      <c r="D201">
        <v>52</v>
      </c>
      <c r="E201">
        <v>77.849999999999994</v>
      </c>
      <c r="F201" t="s">
        <v>10</v>
      </c>
      <c r="G201" t="s">
        <v>11</v>
      </c>
      <c r="H201" t="s">
        <v>23</v>
      </c>
      <c r="I201" t="s">
        <v>13</v>
      </c>
      <c r="J201" s="1"/>
    </row>
    <row r="202" spans="1:10" x14ac:dyDescent="0.35">
      <c r="A202" t="s">
        <v>178</v>
      </c>
      <c r="B202">
        <v>52</v>
      </c>
      <c r="C202">
        <v>53</v>
      </c>
      <c r="D202">
        <v>93</v>
      </c>
      <c r="E202">
        <v>86.54</v>
      </c>
      <c r="F202" t="s">
        <v>15</v>
      </c>
      <c r="G202" t="s">
        <v>32</v>
      </c>
      <c r="H202" t="s">
        <v>23</v>
      </c>
      <c r="I202" t="s">
        <v>13</v>
      </c>
      <c r="J202" s="1"/>
    </row>
    <row r="203" spans="1:10" x14ac:dyDescent="0.35">
      <c r="A203" t="s">
        <v>179</v>
      </c>
      <c r="B203">
        <v>52</v>
      </c>
      <c r="C203">
        <v>89</v>
      </c>
      <c r="D203">
        <v>57</v>
      </c>
      <c r="E203">
        <v>81.98</v>
      </c>
      <c r="F203" t="s">
        <v>15</v>
      </c>
      <c r="G203" t="s">
        <v>22</v>
      </c>
      <c r="H203" t="s">
        <v>23</v>
      </c>
      <c r="I203" t="s">
        <v>24</v>
      </c>
      <c r="J203" s="1"/>
    </row>
    <row r="204" spans="1:10" x14ac:dyDescent="0.35">
      <c r="A204" t="s">
        <v>180</v>
      </c>
      <c r="B204">
        <v>65</v>
      </c>
      <c r="C204">
        <v>54</v>
      </c>
      <c r="D204">
        <v>40</v>
      </c>
      <c r="E204">
        <v>61.1</v>
      </c>
      <c r="F204" t="s">
        <v>15</v>
      </c>
      <c r="G204" t="s">
        <v>22</v>
      </c>
      <c r="H204" t="s">
        <v>23</v>
      </c>
      <c r="I204" t="s">
        <v>24</v>
      </c>
      <c r="J204" s="1"/>
    </row>
    <row r="205" spans="1:10" x14ac:dyDescent="0.35">
      <c r="A205" t="s">
        <v>181</v>
      </c>
      <c r="B205">
        <v>82</v>
      </c>
      <c r="C205">
        <v>46</v>
      </c>
      <c r="D205">
        <v>62</v>
      </c>
      <c r="E205">
        <v>61.28</v>
      </c>
      <c r="F205" t="s">
        <v>10</v>
      </c>
      <c r="G205" t="s">
        <v>18</v>
      </c>
      <c r="H205" t="s">
        <v>12</v>
      </c>
      <c r="I205" t="s">
        <v>30</v>
      </c>
      <c r="J205" s="1"/>
    </row>
    <row r="206" spans="1:10" x14ac:dyDescent="0.35">
      <c r="A206" t="s">
        <v>182</v>
      </c>
      <c r="B206">
        <v>99</v>
      </c>
      <c r="C206">
        <v>72</v>
      </c>
      <c r="D206">
        <v>72</v>
      </c>
      <c r="E206">
        <v>88.05</v>
      </c>
      <c r="F206" t="s">
        <v>10</v>
      </c>
      <c r="G206" t="s">
        <v>11</v>
      </c>
      <c r="H206" t="s">
        <v>20</v>
      </c>
      <c r="I206" t="s">
        <v>30</v>
      </c>
      <c r="J206" s="1"/>
    </row>
    <row r="207" spans="1:10" x14ac:dyDescent="0.35">
      <c r="A207" t="s">
        <v>183</v>
      </c>
      <c r="B207">
        <v>89</v>
      </c>
      <c r="C207">
        <v>91</v>
      </c>
      <c r="D207">
        <v>86</v>
      </c>
      <c r="E207">
        <v>88.3</v>
      </c>
      <c r="F207" t="s">
        <v>10</v>
      </c>
      <c r="G207" t="s">
        <v>18</v>
      </c>
      <c r="H207" t="s">
        <v>23</v>
      </c>
      <c r="I207" t="s">
        <v>13</v>
      </c>
      <c r="J207" s="1"/>
    </row>
    <row r="208" spans="1:10" x14ac:dyDescent="0.35">
      <c r="A208" t="s">
        <v>184</v>
      </c>
      <c r="B208">
        <v>47</v>
      </c>
      <c r="C208">
        <v>73</v>
      </c>
      <c r="D208">
        <v>70</v>
      </c>
      <c r="E208">
        <v>98.4</v>
      </c>
      <c r="F208" t="s">
        <v>10</v>
      </c>
      <c r="G208" t="s">
        <v>18</v>
      </c>
      <c r="H208" t="s">
        <v>12</v>
      </c>
      <c r="I208" t="s">
        <v>30</v>
      </c>
    </row>
    <row r="209" spans="1:9" x14ac:dyDescent="0.35">
      <c r="A209" t="s">
        <v>185</v>
      </c>
      <c r="B209">
        <v>53</v>
      </c>
      <c r="C209">
        <v>43</v>
      </c>
      <c r="D209">
        <v>97</v>
      </c>
      <c r="E209">
        <v>95.07</v>
      </c>
      <c r="F209" t="s">
        <v>10</v>
      </c>
      <c r="G209" t="s">
        <v>32</v>
      </c>
      <c r="H209" t="s">
        <v>23</v>
      </c>
      <c r="I209" t="s">
        <v>24</v>
      </c>
    </row>
    <row r="210" spans="1:9" x14ac:dyDescent="0.35">
      <c r="A210" t="s">
        <v>186</v>
      </c>
      <c r="B210">
        <v>84</v>
      </c>
      <c r="C210">
        <v>40</v>
      </c>
      <c r="D210">
        <v>60</v>
      </c>
      <c r="E210">
        <v>78.72</v>
      </c>
      <c r="F210" t="s">
        <v>10</v>
      </c>
      <c r="G210" t="s">
        <v>32</v>
      </c>
      <c r="H210" t="s">
        <v>23</v>
      </c>
      <c r="I210" t="s">
        <v>16</v>
      </c>
    </row>
    <row r="211" spans="1:9" x14ac:dyDescent="0.35">
      <c r="A211" t="s">
        <v>187</v>
      </c>
      <c r="B211">
        <v>99</v>
      </c>
      <c r="C211">
        <v>80</v>
      </c>
      <c r="D211">
        <v>62</v>
      </c>
      <c r="E211">
        <v>85.04</v>
      </c>
      <c r="F211" t="s">
        <v>15</v>
      </c>
      <c r="G211" t="s">
        <v>18</v>
      </c>
      <c r="H211" t="s">
        <v>12</v>
      </c>
      <c r="I211" t="s">
        <v>13</v>
      </c>
    </row>
    <row r="212" spans="1:9" x14ac:dyDescent="0.35">
      <c r="A212" t="s">
        <v>188</v>
      </c>
      <c r="B212">
        <v>41</v>
      </c>
      <c r="C212">
        <v>53</v>
      </c>
      <c r="D212">
        <v>55</v>
      </c>
      <c r="E212">
        <v>78.290000000000006</v>
      </c>
      <c r="F212" t="s">
        <v>15</v>
      </c>
      <c r="G212" t="s">
        <v>11</v>
      </c>
      <c r="H212" t="s">
        <v>23</v>
      </c>
      <c r="I212" t="s">
        <v>24</v>
      </c>
    </row>
    <row r="213" spans="1:9" x14ac:dyDescent="0.35">
      <c r="A213" t="s">
        <v>189</v>
      </c>
      <c r="B213">
        <v>95</v>
      </c>
      <c r="C213">
        <v>70</v>
      </c>
      <c r="D213">
        <v>100</v>
      </c>
      <c r="E213">
        <v>68.92</v>
      </c>
      <c r="F213" t="s">
        <v>10</v>
      </c>
      <c r="G213" t="s">
        <v>18</v>
      </c>
      <c r="H213" t="s">
        <v>12</v>
      </c>
      <c r="I213" t="s">
        <v>24</v>
      </c>
    </row>
    <row r="214" spans="1:9" x14ac:dyDescent="0.35">
      <c r="A214" t="s">
        <v>190</v>
      </c>
      <c r="B214">
        <v>81</v>
      </c>
      <c r="C214">
        <v>77</v>
      </c>
      <c r="D214">
        <v>66</v>
      </c>
      <c r="E214">
        <v>75.069999999999993</v>
      </c>
      <c r="F214" t="s">
        <v>10</v>
      </c>
      <c r="G214" t="s">
        <v>32</v>
      </c>
      <c r="H214" t="s">
        <v>12</v>
      </c>
      <c r="I214" t="s">
        <v>13</v>
      </c>
    </row>
    <row r="215" spans="1:9" x14ac:dyDescent="0.35">
      <c r="A215" t="s">
        <v>191</v>
      </c>
      <c r="B215">
        <v>54</v>
      </c>
      <c r="C215">
        <v>89</v>
      </c>
      <c r="D215">
        <v>76</v>
      </c>
      <c r="E215">
        <v>64.16</v>
      </c>
      <c r="F215" t="s">
        <v>10</v>
      </c>
      <c r="G215" t="s">
        <v>32</v>
      </c>
      <c r="H215" t="s">
        <v>23</v>
      </c>
      <c r="I215" t="s">
        <v>30</v>
      </c>
    </row>
    <row r="216" spans="1:9" x14ac:dyDescent="0.35">
      <c r="A216" t="s">
        <v>192</v>
      </c>
      <c r="B216">
        <v>96</v>
      </c>
      <c r="C216">
        <v>92</v>
      </c>
      <c r="D216">
        <v>77</v>
      </c>
      <c r="E216">
        <v>86.66</v>
      </c>
      <c r="F216" t="s">
        <v>15</v>
      </c>
      <c r="G216" t="s">
        <v>22</v>
      </c>
      <c r="H216" t="s">
        <v>12</v>
      </c>
      <c r="I216" t="s">
        <v>13</v>
      </c>
    </row>
    <row r="217" spans="1:9" x14ac:dyDescent="0.35">
      <c r="A217" t="s">
        <v>193</v>
      </c>
      <c r="B217">
        <v>63</v>
      </c>
      <c r="C217">
        <v>59</v>
      </c>
      <c r="D217">
        <v>91</v>
      </c>
      <c r="E217">
        <v>67.680000000000007</v>
      </c>
      <c r="F217" t="s">
        <v>10</v>
      </c>
      <c r="G217" t="s">
        <v>32</v>
      </c>
      <c r="H217" t="s">
        <v>12</v>
      </c>
      <c r="I217" t="s">
        <v>24</v>
      </c>
    </row>
    <row r="218" spans="1:9" x14ac:dyDescent="0.35">
      <c r="A218" t="s">
        <v>194</v>
      </c>
      <c r="B218">
        <v>73</v>
      </c>
      <c r="C218">
        <v>42</v>
      </c>
      <c r="D218">
        <v>53</v>
      </c>
      <c r="E218">
        <v>79.02</v>
      </c>
      <c r="F218" t="s">
        <v>10</v>
      </c>
      <c r="G218" t="s">
        <v>32</v>
      </c>
      <c r="H218" t="s">
        <v>23</v>
      </c>
      <c r="I218" t="s">
        <v>30</v>
      </c>
    </row>
    <row r="219" spans="1:9" x14ac:dyDescent="0.35">
      <c r="A219" t="s">
        <v>195</v>
      </c>
      <c r="B219">
        <v>43</v>
      </c>
      <c r="C219">
        <v>74</v>
      </c>
      <c r="D219">
        <v>76</v>
      </c>
      <c r="E219">
        <v>98.7</v>
      </c>
      <c r="F219" t="s">
        <v>10</v>
      </c>
      <c r="G219" t="s">
        <v>22</v>
      </c>
      <c r="H219" t="s">
        <v>23</v>
      </c>
      <c r="I219" t="s">
        <v>24</v>
      </c>
    </row>
    <row r="220" spans="1:9" x14ac:dyDescent="0.35">
      <c r="A220" t="s">
        <v>196</v>
      </c>
      <c r="B220">
        <v>57</v>
      </c>
      <c r="C220">
        <v>85</v>
      </c>
      <c r="D220">
        <v>86</v>
      </c>
      <c r="E220">
        <v>61.27</v>
      </c>
      <c r="F220" t="s">
        <v>10</v>
      </c>
      <c r="G220" t="s">
        <v>22</v>
      </c>
      <c r="H220" t="s">
        <v>23</v>
      </c>
      <c r="I220" t="s">
        <v>13</v>
      </c>
    </row>
    <row r="221" spans="1:9" x14ac:dyDescent="0.35">
      <c r="A221" t="s">
        <v>197</v>
      </c>
      <c r="B221">
        <v>64</v>
      </c>
      <c r="C221">
        <v>72</v>
      </c>
      <c r="D221">
        <v>46</v>
      </c>
      <c r="E221">
        <v>66.069999999999993</v>
      </c>
      <c r="F221" t="s">
        <v>10</v>
      </c>
      <c r="G221" t="s">
        <v>11</v>
      </c>
      <c r="H221" t="s">
        <v>12</v>
      </c>
      <c r="I221" t="s">
        <v>13</v>
      </c>
    </row>
    <row r="222" spans="1:9" x14ac:dyDescent="0.35">
      <c r="A222" t="s">
        <v>198</v>
      </c>
      <c r="B222">
        <v>86</v>
      </c>
      <c r="C222">
        <v>54</v>
      </c>
      <c r="D222">
        <v>51</v>
      </c>
      <c r="E222">
        <v>71.94</v>
      </c>
      <c r="F222" t="s">
        <v>10</v>
      </c>
      <c r="G222" t="s">
        <v>11</v>
      </c>
      <c r="H222" t="s">
        <v>20</v>
      </c>
      <c r="I222" t="s">
        <v>30</v>
      </c>
    </row>
    <row r="223" spans="1:9" x14ac:dyDescent="0.35">
      <c r="A223" t="s">
        <v>199</v>
      </c>
      <c r="B223">
        <v>63</v>
      </c>
      <c r="C223">
        <v>42</v>
      </c>
      <c r="D223">
        <v>67</v>
      </c>
      <c r="E223">
        <v>97.67</v>
      </c>
      <c r="F223" t="s">
        <v>15</v>
      </c>
      <c r="G223" t="s">
        <v>32</v>
      </c>
      <c r="H223" t="s">
        <v>12</v>
      </c>
      <c r="I223" t="s">
        <v>30</v>
      </c>
    </row>
    <row r="224" spans="1:9" x14ac:dyDescent="0.35">
      <c r="A224" t="s">
        <v>200</v>
      </c>
      <c r="B224">
        <v>45</v>
      </c>
      <c r="C224">
        <v>67</v>
      </c>
      <c r="D224">
        <v>42</v>
      </c>
      <c r="E224">
        <v>96.35</v>
      </c>
      <c r="F224" t="s">
        <v>15</v>
      </c>
      <c r="G224" t="s">
        <v>11</v>
      </c>
      <c r="H224" t="s">
        <v>12</v>
      </c>
      <c r="I224" t="s">
        <v>24</v>
      </c>
    </row>
    <row r="225" spans="1:9" x14ac:dyDescent="0.35">
      <c r="A225" t="s">
        <v>201</v>
      </c>
      <c r="B225">
        <v>73</v>
      </c>
      <c r="C225">
        <v>66</v>
      </c>
      <c r="D225">
        <v>61</v>
      </c>
      <c r="E225">
        <v>66.48</v>
      </c>
      <c r="F225" t="s">
        <v>15</v>
      </c>
      <c r="G225" t="s">
        <v>18</v>
      </c>
      <c r="H225" t="s">
        <v>12</v>
      </c>
      <c r="I225" t="s">
        <v>16</v>
      </c>
    </row>
    <row r="226" spans="1:9" x14ac:dyDescent="0.35">
      <c r="A226" t="s">
        <v>202</v>
      </c>
      <c r="B226">
        <v>90</v>
      </c>
      <c r="C226">
        <v>86</v>
      </c>
      <c r="D226">
        <v>90</v>
      </c>
      <c r="E226">
        <v>99.24</v>
      </c>
      <c r="F226" t="s">
        <v>15</v>
      </c>
      <c r="G226" t="s">
        <v>18</v>
      </c>
      <c r="H226" t="s">
        <v>12</v>
      </c>
      <c r="I226" t="s">
        <v>24</v>
      </c>
    </row>
    <row r="227" spans="1:9" x14ac:dyDescent="0.35">
      <c r="A227" t="s">
        <v>203</v>
      </c>
      <c r="B227">
        <v>77</v>
      </c>
      <c r="C227">
        <v>86</v>
      </c>
      <c r="D227">
        <v>60</v>
      </c>
      <c r="E227">
        <v>90.03</v>
      </c>
      <c r="F227" t="s">
        <v>15</v>
      </c>
      <c r="G227" t="s">
        <v>18</v>
      </c>
      <c r="H227" t="s">
        <v>23</v>
      </c>
      <c r="I227" t="s">
        <v>30</v>
      </c>
    </row>
    <row r="228" spans="1:9" x14ac:dyDescent="0.35">
      <c r="A228" t="s">
        <v>204</v>
      </c>
      <c r="B228">
        <v>42</v>
      </c>
      <c r="C228">
        <v>72</v>
      </c>
      <c r="D228">
        <v>68</v>
      </c>
      <c r="E228">
        <v>81.599999999999994</v>
      </c>
      <c r="F228" t="s">
        <v>10</v>
      </c>
      <c r="G228" t="s">
        <v>18</v>
      </c>
      <c r="H228" t="s">
        <v>12</v>
      </c>
      <c r="I228" t="s">
        <v>13</v>
      </c>
    </row>
    <row r="229" spans="1:9" x14ac:dyDescent="0.35">
      <c r="A229" t="s">
        <v>205</v>
      </c>
      <c r="B229">
        <v>58</v>
      </c>
      <c r="C229">
        <v>58</v>
      </c>
      <c r="D229">
        <v>59</v>
      </c>
      <c r="E229">
        <v>97.27</v>
      </c>
      <c r="F229" t="s">
        <v>15</v>
      </c>
      <c r="G229" t="s">
        <v>18</v>
      </c>
      <c r="H229" t="s">
        <v>12</v>
      </c>
      <c r="I229" t="s">
        <v>30</v>
      </c>
    </row>
    <row r="230" spans="1:9" x14ac:dyDescent="0.35">
      <c r="A230" t="s">
        <v>206</v>
      </c>
      <c r="B230">
        <v>86</v>
      </c>
      <c r="C230">
        <v>95</v>
      </c>
      <c r="D230">
        <v>42</v>
      </c>
      <c r="E230">
        <v>95.22</v>
      </c>
      <c r="F230" t="s">
        <v>10</v>
      </c>
      <c r="G230" t="s">
        <v>22</v>
      </c>
      <c r="H230" t="s">
        <v>20</v>
      </c>
      <c r="I230" t="s">
        <v>16</v>
      </c>
    </row>
    <row r="231" spans="1:9" x14ac:dyDescent="0.35">
      <c r="A231" t="s">
        <v>207</v>
      </c>
      <c r="B231">
        <v>85</v>
      </c>
      <c r="C231">
        <v>97</v>
      </c>
      <c r="D231">
        <v>66</v>
      </c>
      <c r="E231">
        <v>75.650000000000006</v>
      </c>
      <c r="F231" t="s">
        <v>10</v>
      </c>
      <c r="G231" t="s">
        <v>11</v>
      </c>
      <c r="H231" t="s">
        <v>12</v>
      </c>
      <c r="I231" t="s">
        <v>16</v>
      </c>
    </row>
    <row r="232" spans="1:9" x14ac:dyDescent="0.35">
      <c r="A232" t="s">
        <v>208</v>
      </c>
      <c r="B232">
        <v>97</v>
      </c>
      <c r="C232">
        <v>72</v>
      </c>
      <c r="D232">
        <v>60</v>
      </c>
      <c r="E232">
        <v>86.25</v>
      </c>
      <c r="F232" t="s">
        <v>10</v>
      </c>
      <c r="G232" t="s">
        <v>18</v>
      </c>
      <c r="H232" t="s">
        <v>12</v>
      </c>
      <c r="I232" t="s">
        <v>24</v>
      </c>
    </row>
    <row r="233" spans="1:9" x14ac:dyDescent="0.35">
      <c r="A233" t="s">
        <v>209</v>
      </c>
      <c r="B233">
        <v>75</v>
      </c>
      <c r="C233">
        <v>70</v>
      </c>
      <c r="D233">
        <v>80</v>
      </c>
      <c r="E233">
        <v>85.9</v>
      </c>
      <c r="F233" t="s">
        <v>10</v>
      </c>
      <c r="G233" t="s">
        <v>22</v>
      </c>
      <c r="H233" t="s">
        <v>23</v>
      </c>
      <c r="I233" t="s">
        <v>30</v>
      </c>
    </row>
    <row r="234" spans="1:9" x14ac:dyDescent="0.35">
      <c r="A234" t="s">
        <v>210</v>
      </c>
      <c r="B234">
        <v>58</v>
      </c>
      <c r="C234">
        <v>43</v>
      </c>
      <c r="D234">
        <v>72</v>
      </c>
      <c r="E234">
        <v>73.08</v>
      </c>
      <c r="F234" t="s">
        <v>10</v>
      </c>
      <c r="G234" t="s">
        <v>22</v>
      </c>
      <c r="H234" t="s">
        <v>20</v>
      </c>
      <c r="I234" t="s">
        <v>13</v>
      </c>
    </row>
    <row r="235" spans="1:9" x14ac:dyDescent="0.35">
      <c r="A235" t="s">
        <v>211</v>
      </c>
      <c r="B235">
        <v>67</v>
      </c>
      <c r="C235">
        <v>71</v>
      </c>
      <c r="D235">
        <v>69</v>
      </c>
      <c r="E235">
        <v>67.180000000000007</v>
      </c>
      <c r="F235" t="s">
        <v>10</v>
      </c>
      <c r="G235" t="s">
        <v>32</v>
      </c>
      <c r="H235" t="s">
        <v>20</v>
      </c>
      <c r="I235" t="s">
        <v>16</v>
      </c>
    </row>
    <row r="236" spans="1:9" x14ac:dyDescent="0.35">
      <c r="A236" t="s">
        <v>212</v>
      </c>
      <c r="B236">
        <v>86</v>
      </c>
      <c r="C236">
        <v>81</v>
      </c>
      <c r="D236">
        <v>87</v>
      </c>
      <c r="E236">
        <v>78.67</v>
      </c>
      <c r="F236" t="s">
        <v>10</v>
      </c>
      <c r="G236" t="s">
        <v>32</v>
      </c>
      <c r="H236" t="s">
        <v>12</v>
      </c>
      <c r="I236" t="s">
        <v>24</v>
      </c>
    </row>
    <row r="237" spans="1:9" x14ac:dyDescent="0.35">
      <c r="A237" t="s">
        <v>213</v>
      </c>
      <c r="B237">
        <v>94</v>
      </c>
      <c r="C237">
        <v>67</v>
      </c>
      <c r="D237">
        <v>78</v>
      </c>
      <c r="E237">
        <v>70.53</v>
      </c>
      <c r="F237" t="s">
        <v>15</v>
      </c>
      <c r="G237" t="s">
        <v>11</v>
      </c>
      <c r="H237" t="s">
        <v>20</v>
      </c>
      <c r="I237" t="s">
        <v>30</v>
      </c>
    </row>
    <row r="238" spans="1:9" x14ac:dyDescent="0.35">
      <c r="A238" t="s">
        <v>214</v>
      </c>
      <c r="B238">
        <v>95</v>
      </c>
      <c r="C238">
        <v>95</v>
      </c>
      <c r="D238">
        <v>80</v>
      </c>
      <c r="E238">
        <v>74.2</v>
      </c>
      <c r="F238" t="s">
        <v>15</v>
      </c>
      <c r="G238" t="s">
        <v>32</v>
      </c>
      <c r="H238" t="s">
        <v>20</v>
      </c>
      <c r="I238" t="s">
        <v>13</v>
      </c>
    </row>
    <row r="239" spans="1:9" x14ac:dyDescent="0.35">
      <c r="A239" t="s">
        <v>215</v>
      </c>
      <c r="B239">
        <v>49</v>
      </c>
      <c r="C239">
        <v>55</v>
      </c>
      <c r="D239">
        <v>98</v>
      </c>
      <c r="E239">
        <v>98.17</v>
      </c>
      <c r="F239" t="s">
        <v>10</v>
      </c>
      <c r="G239" t="s">
        <v>32</v>
      </c>
      <c r="H239" t="s">
        <v>20</v>
      </c>
      <c r="I239" t="s">
        <v>13</v>
      </c>
    </row>
    <row r="240" spans="1:9" x14ac:dyDescent="0.35">
      <c r="A240" t="s">
        <v>216</v>
      </c>
      <c r="B240">
        <v>57</v>
      </c>
      <c r="C240">
        <v>88</v>
      </c>
      <c r="D240">
        <v>48</v>
      </c>
      <c r="E240">
        <v>78.45</v>
      </c>
      <c r="F240" t="s">
        <v>15</v>
      </c>
      <c r="G240" t="s">
        <v>11</v>
      </c>
      <c r="H240" t="s">
        <v>12</v>
      </c>
      <c r="I240" t="s">
        <v>13</v>
      </c>
    </row>
    <row r="241" spans="1:9" x14ac:dyDescent="0.35">
      <c r="A241" t="s">
        <v>217</v>
      </c>
      <c r="B241">
        <v>43</v>
      </c>
      <c r="C241">
        <v>82</v>
      </c>
      <c r="D241">
        <v>87</v>
      </c>
      <c r="E241">
        <v>87.4</v>
      </c>
      <c r="F241" t="s">
        <v>10</v>
      </c>
      <c r="G241" t="s">
        <v>22</v>
      </c>
      <c r="H241" t="s">
        <v>20</v>
      </c>
      <c r="I241" t="s">
        <v>24</v>
      </c>
    </row>
    <row r="242" spans="1:9" x14ac:dyDescent="0.35">
      <c r="A242" t="s">
        <v>218</v>
      </c>
      <c r="B242">
        <v>51</v>
      </c>
      <c r="C242">
        <v>67</v>
      </c>
      <c r="D242">
        <v>77</v>
      </c>
      <c r="E242">
        <v>73.45</v>
      </c>
      <c r="F242" t="s">
        <v>15</v>
      </c>
      <c r="G242" t="s">
        <v>18</v>
      </c>
      <c r="H242" t="s">
        <v>20</v>
      </c>
      <c r="I242" t="s">
        <v>13</v>
      </c>
    </row>
    <row r="243" spans="1:9" x14ac:dyDescent="0.35">
      <c r="A243" t="s">
        <v>219</v>
      </c>
      <c r="B243">
        <v>66</v>
      </c>
      <c r="C243">
        <v>54</v>
      </c>
      <c r="D243">
        <v>62</v>
      </c>
      <c r="E243">
        <v>99.83</v>
      </c>
      <c r="F243" t="s">
        <v>10</v>
      </c>
      <c r="G243" t="s">
        <v>32</v>
      </c>
      <c r="H243" t="s">
        <v>20</v>
      </c>
      <c r="I243" t="s">
        <v>30</v>
      </c>
    </row>
    <row r="244" spans="1:9" x14ac:dyDescent="0.35">
      <c r="A244" t="s">
        <v>220</v>
      </c>
      <c r="B244">
        <v>68</v>
      </c>
      <c r="C244">
        <v>87</v>
      </c>
      <c r="D244">
        <v>93</v>
      </c>
      <c r="E244">
        <v>86.35</v>
      </c>
      <c r="F244" t="s">
        <v>15</v>
      </c>
      <c r="G244" t="s">
        <v>11</v>
      </c>
      <c r="H244" t="s">
        <v>23</v>
      </c>
      <c r="I244" t="s">
        <v>30</v>
      </c>
    </row>
    <row r="245" spans="1:9" x14ac:dyDescent="0.35">
      <c r="A245" t="s">
        <v>221</v>
      </c>
      <c r="B245">
        <v>96</v>
      </c>
      <c r="C245">
        <v>61</v>
      </c>
      <c r="D245">
        <v>62</v>
      </c>
      <c r="E245">
        <v>67.84</v>
      </c>
      <c r="F245" t="s">
        <v>15</v>
      </c>
      <c r="G245" t="s">
        <v>22</v>
      </c>
      <c r="H245" t="s">
        <v>23</v>
      </c>
      <c r="I245" t="s">
        <v>30</v>
      </c>
    </row>
    <row r="246" spans="1:9" x14ac:dyDescent="0.35">
      <c r="A246" t="s">
        <v>222</v>
      </c>
      <c r="B246">
        <v>51</v>
      </c>
      <c r="C246">
        <v>70</v>
      </c>
      <c r="D246">
        <v>40</v>
      </c>
      <c r="E246">
        <v>63.93</v>
      </c>
      <c r="F246" t="s">
        <v>15</v>
      </c>
      <c r="G246" t="s">
        <v>18</v>
      </c>
      <c r="H246" t="s">
        <v>12</v>
      </c>
      <c r="I246" t="s">
        <v>16</v>
      </c>
    </row>
    <row r="247" spans="1:9" x14ac:dyDescent="0.35">
      <c r="A247" t="s">
        <v>223</v>
      </c>
      <c r="B247">
        <v>50</v>
      </c>
      <c r="C247">
        <v>99</v>
      </c>
      <c r="D247">
        <v>60</v>
      </c>
      <c r="E247">
        <v>97.73</v>
      </c>
      <c r="F247" t="s">
        <v>10</v>
      </c>
      <c r="G247" t="s">
        <v>32</v>
      </c>
      <c r="H247" t="s">
        <v>23</v>
      </c>
      <c r="I247" t="s">
        <v>24</v>
      </c>
    </row>
    <row r="248" spans="1:9" x14ac:dyDescent="0.35">
      <c r="A248" t="s">
        <v>224</v>
      </c>
      <c r="B248">
        <v>43</v>
      </c>
      <c r="C248">
        <v>60</v>
      </c>
      <c r="D248">
        <v>71</v>
      </c>
      <c r="E248">
        <v>97.79</v>
      </c>
      <c r="F248" t="s">
        <v>10</v>
      </c>
      <c r="G248" t="s">
        <v>18</v>
      </c>
      <c r="H248" t="s">
        <v>12</v>
      </c>
      <c r="I248" t="s">
        <v>24</v>
      </c>
    </row>
    <row r="249" spans="1:9" x14ac:dyDescent="0.35">
      <c r="A249" t="s">
        <v>225</v>
      </c>
      <c r="B249">
        <v>85</v>
      </c>
      <c r="C249">
        <v>71</v>
      </c>
      <c r="D249">
        <v>84</v>
      </c>
      <c r="E249">
        <v>84.85</v>
      </c>
      <c r="F249" t="s">
        <v>15</v>
      </c>
      <c r="G249" t="s">
        <v>32</v>
      </c>
      <c r="H249" t="s">
        <v>23</v>
      </c>
      <c r="I249" t="s">
        <v>24</v>
      </c>
    </row>
    <row r="250" spans="1:9" x14ac:dyDescent="0.35">
      <c r="A250" t="s">
        <v>226</v>
      </c>
      <c r="B250">
        <v>98</v>
      </c>
      <c r="C250">
        <v>46</v>
      </c>
      <c r="D250">
        <v>65</v>
      </c>
      <c r="E250">
        <v>60.68</v>
      </c>
      <c r="F250" t="s">
        <v>15</v>
      </c>
      <c r="G250" t="s">
        <v>11</v>
      </c>
      <c r="H250" t="s">
        <v>12</v>
      </c>
      <c r="I250" t="s">
        <v>24</v>
      </c>
    </row>
    <row r="251" spans="1:9" x14ac:dyDescent="0.35">
      <c r="A251" t="s">
        <v>227</v>
      </c>
      <c r="B251">
        <v>98</v>
      </c>
      <c r="C251">
        <v>72</v>
      </c>
      <c r="D251">
        <v>72</v>
      </c>
      <c r="E251">
        <v>69.02</v>
      </c>
      <c r="F251" t="s">
        <v>15</v>
      </c>
      <c r="G251" t="s">
        <v>22</v>
      </c>
      <c r="H251" t="s">
        <v>20</v>
      </c>
      <c r="I251" t="s">
        <v>30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2026-09-08T12:01:38Z</dcterms:created>
  <dcterms:modified xsi:type="dcterms:W3CDTF">2026-09-10T07:37:57Z</dcterms:modified>
</cp:coreProperties>
</file>